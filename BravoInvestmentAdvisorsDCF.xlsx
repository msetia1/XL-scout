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4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/Users/cameronferguson/Downloads/"/>
    </mc:Choice>
  </mc:AlternateContent>
  <xr:revisionPtr revIDLastSave="0" documentId="8_{3A87E614-3635-5D44-BA3B-4157394E5E6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Lions Gate DCF" sheetId="7" r:id="rId1"/>
  </sheets>
  <definedNames>
    <definedName name="_xlnm.Print_Titles" localSheetId="0">'Lions Gate DCF'!#REF!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'Lions Gate DCF'!#REF!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fileRecoveryPr autoRecover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51" i="7" l="1"/>
  <c r="I51" i="7"/>
  <c r="I9" i="7"/>
  <c r="H9" i="7"/>
  <c r="F84" i="7"/>
  <c r="L82" i="7"/>
  <c r="L83" i="7" s="1"/>
  <c r="F82" i="7"/>
  <c r="F83" i="7" s="1"/>
  <c r="I84" i="7"/>
  <c r="I10" i="7" l="1"/>
  <c r="J9" i="7"/>
  <c r="C84" i="7"/>
  <c r="B172" i="7" s="1"/>
  <c r="E169" i="7"/>
  <c r="F169" i="7" s="1"/>
  <c r="G169" i="7" s="1"/>
  <c r="E148" i="7"/>
  <c r="F148" i="7" s="1"/>
  <c r="G148" i="7" s="1"/>
  <c r="E104" i="7"/>
  <c r="G163" i="7"/>
  <c r="G142" i="7"/>
  <c r="G121" i="7"/>
  <c r="G98" i="7"/>
  <c r="C121" i="7"/>
  <c r="L85" i="7"/>
  <c r="B151" i="7" s="1"/>
  <c r="C142" i="7"/>
  <c r="C98" i="7"/>
  <c r="G8" i="7"/>
  <c r="H8" i="7" s="1"/>
  <c r="I8" i="7" s="1"/>
  <c r="J8" i="7" s="1"/>
  <c r="K8" i="7" s="1"/>
  <c r="L8" i="7" s="1"/>
  <c r="G91" i="7" s="1"/>
  <c r="G71" i="7"/>
  <c r="H71" i="7" s="1"/>
  <c r="I71" i="7" s="1"/>
  <c r="J71" i="7" s="1"/>
  <c r="K71" i="7" s="1"/>
  <c r="L71" i="7" s="1"/>
  <c r="H59" i="7"/>
  <c r="E59" i="7"/>
  <c r="F59" i="7"/>
  <c r="G59" i="7"/>
  <c r="D59" i="7"/>
  <c r="G56" i="7"/>
  <c r="F56" i="7" s="1"/>
  <c r="E56" i="7" s="1"/>
  <c r="D56" i="7" s="1"/>
  <c r="C56" i="7" s="1"/>
  <c r="E73" i="7"/>
  <c r="F73" i="7"/>
  <c r="G73" i="7"/>
  <c r="D73" i="7"/>
  <c r="C52" i="7"/>
  <c r="C27" i="7"/>
  <c r="E27" i="7"/>
  <c r="D27" i="7"/>
  <c r="D24" i="7"/>
  <c r="D22" i="7"/>
  <c r="D16" i="7"/>
  <c r="D10" i="7"/>
  <c r="D12" i="7"/>
  <c r="G24" i="7"/>
  <c r="F24" i="7"/>
  <c r="E24" i="7"/>
  <c r="C24" i="7"/>
  <c r="E22" i="7"/>
  <c r="F22" i="7"/>
  <c r="G22" i="7"/>
  <c r="G27" i="7"/>
  <c r="C22" i="7"/>
  <c r="H22" i="7" s="1"/>
  <c r="I22" i="7" s="1"/>
  <c r="J22" i="7" s="1"/>
  <c r="K22" i="7" s="1"/>
  <c r="L22" i="7" s="1"/>
  <c r="F27" i="7"/>
  <c r="C16" i="7"/>
  <c r="G62" i="7"/>
  <c r="H62" i="7" s="1"/>
  <c r="I62" i="7" s="1"/>
  <c r="J62" i="7" s="1"/>
  <c r="K62" i="7" s="1"/>
  <c r="L62" i="7" s="1"/>
  <c r="G37" i="7"/>
  <c r="H37" i="7" s="1"/>
  <c r="I37" i="7" s="1"/>
  <c r="J37" i="7" s="1"/>
  <c r="K37" i="7" s="1"/>
  <c r="L37" i="7" s="1"/>
  <c r="G30" i="7"/>
  <c r="H30" i="7" s="1"/>
  <c r="I30" i="7" s="1"/>
  <c r="J30" i="7" s="1"/>
  <c r="K30" i="7" s="1"/>
  <c r="L30" i="7" s="1"/>
  <c r="G137" i="7" s="1"/>
  <c r="E12" i="7"/>
  <c r="F12" i="7"/>
  <c r="G12" i="7"/>
  <c r="E16" i="7"/>
  <c r="F16" i="7"/>
  <c r="G16" i="7"/>
  <c r="E64" i="7"/>
  <c r="F64" i="7"/>
  <c r="G64" i="7"/>
  <c r="D64" i="7"/>
  <c r="D45" i="7"/>
  <c r="G45" i="7"/>
  <c r="F45" i="7"/>
  <c r="E45" i="7"/>
  <c r="C45" i="7"/>
  <c r="D43" i="7"/>
  <c r="C43" i="7"/>
  <c r="G43" i="7"/>
  <c r="F43" i="7"/>
  <c r="E43" i="7"/>
  <c r="C48" i="7"/>
  <c r="C49" i="7" s="1"/>
  <c r="D48" i="7"/>
  <c r="D49" i="7" s="1"/>
  <c r="E48" i="7"/>
  <c r="F48" i="7"/>
  <c r="G48" i="7"/>
  <c r="G49" i="7" s="1"/>
  <c r="C47" i="7"/>
  <c r="C34" i="7"/>
  <c r="E13" i="7"/>
  <c r="E17" i="7" s="1"/>
  <c r="C13" i="7"/>
  <c r="C14" i="7" s="1"/>
  <c r="D13" i="7"/>
  <c r="D14" i="7" s="1"/>
  <c r="F13" i="7"/>
  <c r="F14" i="7" s="1"/>
  <c r="G13" i="7"/>
  <c r="D65" i="7"/>
  <c r="E65" i="7"/>
  <c r="F65" i="7"/>
  <c r="G65" i="7"/>
  <c r="G47" i="7"/>
  <c r="F47" i="7"/>
  <c r="E47" i="7"/>
  <c r="D47" i="7"/>
  <c r="E39" i="7"/>
  <c r="C39" i="7"/>
  <c r="G39" i="7"/>
  <c r="F39" i="7"/>
  <c r="D39" i="7"/>
  <c r="C41" i="7"/>
  <c r="G41" i="7"/>
  <c r="F41" i="7"/>
  <c r="E41" i="7"/>
  <c r="D41" i="7"/>
  <c r="G34" i="7"/>
  <c r="F34" i="7"/>
  <c r="E34" i="7"/>
  <c r="D34" i="7"/>
  <c r="G32" i="7"/>
  <c r="F32" i="7"/>
  <c r="E32" i="7"/>
  <c r="D32" i="7"/>
  <c r="C32" i="7"/>
  <c r="G10" i="7"/>
  <c r="F10" i="7"/>
  <c r="E10" i="7"/>
  <c r="H27" i="7" l="1"/>
  <c r="H21" i="7"/>
  <c r="J45" i="7"/>
  <c r="J44" i="7" s="1"/>
  <c r="K45" i="7"/>
  <c r="L45" i="7"/>
  <c r="H45" i="7"/>
  <c r="H44" i="7" s="1"/>
  <c r="I45" i="7"/>
  <c r="I44" i="7" s="1"/>
  <c r="H39" i="7"/>
  <c r="H38" i="7" s="1"/>
  <c r="I39" i="7"/>
  <c r="I38" i="7" s="1"/>
  <c r="L39" i="7"/>
  <c r="J39" i="7"/>
  <c r="K39" i="7"/>
  <c r="I32" i="7"/>
  <c r="I31" i="7" s="1"/>
  <c r="J32" i="7"/>
  <c r="K32" i="7"/>
  <c r="L32" i="7"/>
  <c r="H32" i="7"/>
  <c r="H31" i="7" s="1"/>
  <c r="I34" i="7"/>
  <c r="I33" i="7" s="1"/>
  <c r="J34" i="7"/>
  <c r="J33" i="7" s="1"/>
  <c r="K34" i="7"/>
  <c r="L34" i="7"/>
  <c r="H34" i="7"/>
  <c r="H33" i="7" s="1"/>
  <c r="H43" i="7"/>
  <c r="H42" i="7" s="1"/>
  <c r="I43" i="7"/>
  <c r="I42" i="7" s="1"/>
  <c r="J43" i="7"/>
  <c r="J42" i="7" s="1"/>
  <c r="K43" i="7"/>
  <c r="L43" i="7"/>
  <c r="I16" i="7"/>
  <c r="I15" i="7" s="1"/>
  <c r="K16" i="7"/>
  <c r="L16" i="7"/>
  <c r="H16" i="7"/>
  <c r="H15" i="7" s="1"/>
  <c r="J16" i="7"/>
  <c r="J51" i="7"/>
  <c r="L41" i="7"/>
  <c r="H41" i="7"/>
  <c r="H40" i="7" s="1"/>
  <c r="I41" i="7"/>
  <c r="I40" i="7" s="1"/>
  <c r="J41" i="7"/>
  <c r="J40" i="7" s="1"/>
  <c r="K41" i="7"/>
  <c r="H47" i="7"/>
  <c r="H46" i="7" s="1"/>
  <c r="I47" i="7"/>
  <c r="J47" i="7"/>
  <c r="L47" i="7"/>
  <c r="K47" i="7"/>
  <c r="I12" i="7"/>
  <c r="J12" i="7"/>
  <c r="K12" i="7"/>
  <c r="L12" i="7"/>
  <c r="H12" i="7"/>
  <c r="H11" i="7" s="1"/>
  <c r="H13" i="7" s="1"/>
  <c r="H14" i="7" s="1"/>
  <c r="I21" i="7"/>
  <c r="I46" i="7"/>
  <c r="K9" i="7"/>
  <c r="J46" i="7"/>
  <c r="J38" i="7"/>
  <c r="J15" i="7"/>
  <c r="J31" i="7"/>
  <c r="J21" i="7"/>
  <c r="I11" i="7"/>
  <c r="J11" i="7"/>
  <c r="E14" i="7"/>
  <c r="L24" i="7"/>
  <c r="H24" i="7"/>
  <c r="H23" i="7" s="1"/>
  <c r="I24" i="7"/>
  <c r="I23" i="7" s="1"/>
  <c r="J24" i="7"/>
  <c r="J23" i="7" s="1"/>
  <c r="K24" i="7"/>
  <c r="G52" i="7"/>
  <c r="G53" i="7"/>
  <c r="G74" i="7" s="1"/>
  <c r="D52" i="7"/>
  <c r="D53" i="7"/>
  <c r="D74" i="7" s="1"/>
  <c r="E52" i="7"/>
  <c r="E53" i="7"/>
  <c r="E74" i="7" s="1"/>
  <c r="F52" i="7"/>
  <c r="F53" i="7"/>
  <c r="F74" i="7" s="1"/>
  <c r="D50" i="7"/>
  <c r="D66" i="7" s="1"/>
  <c r="L86" i="7"/>
  <c r="B130" i="7" s="1"/>
  <c r="B129" i="7" s="1"/>
  <c r="F158" i="7"/>
  <c r="G158" i="7"/>
  <c r="E158" i="7"/>
  <c r="D158" i="7"/>
  <c r="C158" i="7"/>
  <c r="F137" i="7"/>
  <c r="E137" i="7"/>
  <c r="D137" i="7"/>
  <c r="C137" i="7"/>
  <c r="B171" i="7"/>
  <c r="B173" i="7"/>
  <c r="D169" i="7"/>
  <c r="C169" i="7" s="1"/>
  <c r="B152" i="7"/>
  <c r="B150" i="7"/>
  <c r="D148" i="7"/>
  <c r="C148" i="7" s="1"/>
  <c r="F104" i="7"/>
  <c r="G104" i="7" s="1"/>
  <c r="D104" i="7"/>
  <c r="D114" i="7"/>
  <c r="G114" i="7"/>
  <c r="F114" i="7"/>
  <c r="E114" i="7"/>
  <c r="C114" i="7"/>
  <c r="F91" i="7"/>
  <c r="E91" i="7"/>
  <c r="D91" i="7"/>
  <c r="C91" i="7"/>
  <c r="F71" i="7"/>
  <c r="E71" i="7" s="1"/>
  <c r="D71" i="7" s="1"/>
  <c r="C159" i="7"/>
  <c r="C161" i="7" s="1"/>
  <c r="I59" i="7"/>
  <c r="H56" i="7"/>
  <c r="I56" i="7" s="1"/>
  <c r="J56" i="7" s="1"/>
  <c r="K56" i="7" s="1"/>
  <c r="L56" i="7" s="1"/>
  <c r="H73" i="7"/>
  <c r="F62" i="7"/>
  <c r="E62" i="7" s="1"/>
  <c r="D62" i="7" s="1"/>
  <c r="F37" i="7"/>
  <c r="E37" i="7" s="1"/>
  <c r="D37" i="7" s="1"/>
  <c r="C37" i="7" s="1"/>
  <c r="F30" i="7"/>
  <c r="E30" i="7" s="1"/>
  <c r="D30" i="7" s="1"/>
  <c r="C30" i="7" s="1"/>
  <c r="H64" i="7"/>
  <c r="H65" i="7"/>
  <c r="D17" i="7"/>
  <c r="C17" i="7"/>
  <c r="G17" i="7"/>
  <c r="F17" i="7"/>
  <c r="G50" i="7"/>
  <c r="G66" i="7" s="1"/>
  <c r="F50" i="7"/>
  <c r="F66" i="7" s="1"/>
  <c r="E50" i="7"/>
  <c r="E66" i="7" s="1"/>
  <c r="F49" i="7"/>
  <c r="E49" i="7"/>
  <c r="G14" i="7"/>
  <c r="F8" i="7"/>
  <c r="E8" i="7" s="1"/>
  <c r="D8" i="7" s="1"/>
  <c r="C8" i="7" s="1"/>
  <c r="L9" i="7" l="1"/>
  <c r="K51" i="7"/>
  <c r="I27" i="7"/>
  <c r="H26" i="7"/>
  <c r="K23" i="7"/>
  <c r="L31" i="7"/>
  <c r="K40" i="7"/>
  <c r="K44" i="7"/>
  <c r="K46" i="7"/>
  <c r="L46" i="7"/>
  <c r="K31" i="7"/>
  <c r="K15" i="7"/>
  <c r="L21" i="7"/>
  <c r="L44" i="7"/>
  <c r="K21" i="7"/>
  <c r="K33" i="7"/>
  <c r="K38" i="7"/>
  <c r="L42" i="7"/>
  <c r="K42" i="7"/>
  <c r="L40" i="7"/>
  <c r="L11" i="7"/>
  <c r="K11" i="7"/>
  <c r="H53" i="7"/>
  <c r="H74" i="7" s="1"/>
  <c r="B107" i="7"/>
  <c r="B106" i="7" s="1"/>
  <c r="B105" i="7" s="1"/>
  <c r="B131" i="7"/>
  <c r="B132" i="7" s="1"/>
  <c r="B174" i="7"/>
  <c r="B170" i="7"/>
  <c r="B128" i="7"/>
  <c r="B149" i="7"/>
  <c r="B153" i="7"/>
  <c r="C104" i="7"/>
  <c r="C96" i="7"/>
  <c r="C119" i="7"/>
  <c r="D159" i="7"/>
  <c r="D161" i="7" s="1"/>
  <c r="D18" i="7"/>
  <c r="C19" i="7"/>
  <c r="C20" i="7" s="1"/>
  <c r="D19" i="7"/>
  <c r="D20" i="7" s="1"/>
  <c r="E19" i="7"/>
  <c r="E25" i="7" s="1"/>
  <c r="F19" i="7"/>
  <c r="F20" i="7" s="1"/>
  <c r="G19" i="7"/>
  <c r="G20" i="7" s="1"/>
  <c r="F63" i="7"/>
  <c r="F67" i="7" s="1"/>
  <c r="F72" i="7" s="1"/>
  <c r="E63" i="7"/>
  <c r="E67" i="7" s="1"/>
  <c r="E72" i="7" s="1"/>
  <c r="H48" i="7"/>
  <c r="H50" i="7" s="1"/>
  <c r="H66" i="7" s="1"/>
  <c r="I64" i="7"/>
  <c r="H17" i="7"/>
  <c r="D63" i="7"/>
  <c r="D67" i="7" s="1"/>
  <c r="D72" i="7" s="1"/>
  <c r="G63" i="7"/>
  <c r="G67" i="7" s="1"/>
  <c r="G72" i="7" s="1"/>
  <c r="G18" i="7"/>
  <c r="C18" i="7"/>
  <c r="F18" i="7"/>
  <c r="E18" i="7"/>
  <c r="J27" i="7" l="1"/>
  <c r="I26" i="7"/>
  <c r="L38" i="7"/>
  <c r="L51" i="7"/>
  <c r="L33" i="7"/>
  <c r="L23" i="7"/>
  <c r="L15" i="7"/>
  <c r="E20" i="7"/>
  <c r="I53" i="7"/>
  <c r="I74" i="7" s="1"/>
  <c r="B108" i="7"/>
  <c r="B109" i="7" s="1"/>
  <c r="E159" i="7"/>
  <c r="E161" i="7" s="1"/>
  <c r="J59" i="7"/>
  <c r="I73" i="7"/>
  <c r="G25" i="7"/>
  <c r="D25" i="7"/>
  <c r="H63" i="7"/>
  <c r="C25" i="7"/>
  <c r="H19" i="7"/>
  <c r="F25" i="7"/>
  <c r="J64" i="7"/>
  <c r="J65" i="7"/>
  <c r="H49" i="7"/>
  <c r="I65" i="7"/>
  <c r="I48" i="7"/>
  <c r="I13" i="7"/>
  <c r="H18" i="7"/>
  <c r="G68" i="7"/>
  <c r="E68" i="7"/>
  <c r="F68" i="7"/>
  <c r="E75" i="7"/>
  <c r="F75" i="7"/>
  <c r="G75" i="7"/>
  <c r="K27" i="7" l="1"/>
  <c r="J26" i="7"/>
  <c r="J53" i="7"/>
  <c r="J74" i="7" s="1"/>
  <c r="F159" i="7"/>
  <c r="F161" i="7" s="1"/>
  <c r="K59" i="7"/>
  <c r="J73" i="7"/>
  <c r="H20" i="7"/>
  <c r="H25" i="7"/>
  <c r="H67" i="7"/>
  <c r="C115" i="7" s="1"/>
  <c r="C117" i="7" s="1"/>
  <c r="K64" i="7"/>
  <c r="K65" i="7"/>
  <c r="J13" i="7"/>
  <c r="J17" i="7" s="1"/>
  <c r="J48" i="7"/>
  <c r="J49" i="7" s="1"/>
  <c r="I14" i="7"/>
  <c r="I17" i="7"/>
  <c r="I50" i="7"/>
  <c r="I66" i="7" s="1"/>
  <c r="I49" i="7"/>
  <c r="G76" i="7"/>
  <c r="D75" i="7"/>
  <c r="F76" i="7"/>
  <c r="L27" i="7" l="1"/>
  <c r="L26" i="7" s="1"/>
  <c r="K26" i="7"/>
  <c r="K53" i="7"/>
  <c r="K74" i="7" s="1"/>
  <c r="H68" i="7"/>
  <c r="H72" i="7"/>
  <c r="H75" i="7" s="1"/>
  <c r="C138" i="7" s="1"/>
  <c r="L59" i="7"/>
  <c r="G159" i="7"/>
  <c r="K73" i="7"/>
  <c r="I63" i="7"/>
  <c r="I67" i="7" s="1"/>
  <c r="D115" i="7" s="1"/>
  <c r="D117" i="7" s="1"/>
  <c r="J63" i="7"/>
  <c r="C92" i="7"/>
  <c r="C94" i="7" s="1"/>
  <c r="J19" i="7"/>
  <c r="J20" i="7" s="1"/>
  <c r="I19" i="7"/>
  <c r="I20" i="7" s="1"/>
  <c r="J18" i="7"/>
  <c r="K48" i="7"/>
  <c r="K50" i="7" s="1"/>
  <c r="K66" i="7" s="1"/>
  <c r="K13" i="7"/>
  <c r="K14" i="7" s="1"/>
  <c r="J50" i="7"/>
  <c r="J66" i="7" s="1"/>
  <c r="J14" i="7"/>
  <c r="I18" i="7"/>
  <c r="E76" i="7"/>
  <c r="L53" i="7" l="1"/>
  <c r="E172" i="7"/>
  <c r="C174" i="7"/>
  <c r="G160" i="7"/>
  <c r="G161" i="7" s="1"/>
  <c r="C172" i="7"/>
  <c r="G172" i="7"/>
  <c r="F172" i="7"/>
  <c r="D172" i="7"/>
  <c r="E173" i="7"/>
  <c r="F173" i="7"/>
  <c r="G173" i="7"/>
  <c r="C173" i="7"/>
  <c r="D173" i="7"/>
  <c r="C171" i="7"/>
  <c r="D171" i="7"/>
  <c r="E171" i="7"/>
  <c r="G171" i="7"/>
  <c r="F171" i="7"/>
  <c r="C170" i="7"/>
  <c r="F174" i="7"/>
  <c r="D170" i="7"/>
  <c r="E170" i="7"/>
  <c r="F170" i="7"/>
  <c r="G174" i="7"/>
  <c r="G170" i="7"/>
  <c r="D174" i="7"/>
  <c r="E174" i="7"/>
  <c r="C140" i="7"/>
  <c r="H76" i="7"/>
  <c r="I72" i="7"/>
  <c r="I75" i="7" s="1"/>
  <c r="D138" i="7" s="1"/>
  <c r="I68" i="7"/>
  <c r="L73" i="7"/>
  <c r="L74" i="7"/>
  <c r="I25" i="7"/>
  <c r="J25" i="7"/>
  <c r="D92" i="7"/>
  <c r="D94" i="7" s="1"/>
  <c r="L65" i="7"/>
  <c r="L64" i="7"/>
  <c r="L48" i="7"/>
  <c r="L49" i="7" s="1"/>
  <c r="L13" i="7"/>
  <c r="L17" i="7" s="1"/>
  <c r="K49" i="7"/>
  <c r="K17" i="7"/>
  <c r="J67" i="7"/>
  <c r="E115" i="7" s="1"/>
  <c r="E117" i="7" s="1"/>
  <c r="I82" i="7" l="1"/>
  <c r="I85" i="7" s="1"/>
  <c r="C164" i="7"/>
  <c r="G164" i="7" s="1"/>
  <c r="D140" i="7"/>
  <c r="I76" i="7"/>
  <c r="J72" i="7"/>
  <c r="J75" i="7" s="1"/>
  <c r="J68" i="7"/>
  <c r="L63" i="7"/>
  <c r="K63" i="7"/>
  <c r="K67" i="7" s="1"/>
  <c r="L19" i="7"/>
  <c r="L20" i="7" s="1"/>
  <c r="K19" i="7"/>
  <c r="K20" i="7" s="1"/>
  <c r="E92" i="7"/>
  <c r="E94" i="7" s="1"/>
  <c r="L14" i="7"/>
  <c r="L50" i="7"/>
  <c r="L66" i="7" s="1"/>
  <c r="K18" i="7"/>
  <c r="L18" i="7"/>
  <c r="E127" i="7" l="1"/>
  <c r="K68" i="7"/>
  <c r="F115" i="7"/>
  <c r="F117" i="7" s="1"/>
  <c r="J76" i="7"/>
  <c r="E138" i="7"/>
  <c r="E140" i="7" s="1"/>
  <c r="K72" i="7"/>
  <c r="K75" i="7" s="1"/>
  <c r="K25" i="7"/>
  <c r="L25" i="7"/>
  <c r="L67" i="7"/>
  <c r="G115" i="7" s="1"/>
  <c r="F92" i="7"/>
  <c r="F94" i="7" s="1"/>
  <c r="F127" i="7" l="1"/>
  <c r="G127" i="7" s="1"/>
  <c r="G129" i="7" s="1"/>
  <c r="D127" i="7"/>
  <c r="C127" i="7" s="1"/>
  <c r="C130" i="7" s="1"/>
  <c r="I86" i="7"/>
  <c r="G116" i="7" s="1"/>
  <c r="G117" i="7" s="1"/>
  <c r="C118" i="7" s="1"/>
  <c r="C120" i="7" s="1"/>
  <c r="C122" i="7" s="1"/>
  <c r="G122" i="7" s="1"/>
  <c r="E130" i="7"/>
  <c r="D130" i="7"/>
  <c r="E129" i="7"/>
  <c r="D131" i="7"/>
  <c r="G131" i="7"/>
  <c r="G130" i="7"/>
  <c r="D129" i="7"/>
  <c r="F129" i="7"/>
  <c r="E131" i="7"/>
  <c r="C132" i="7"/>
  <c r="G132" i="7"/>
  <c r="G128" i="7"/>
  <c r="C128" i="7"/>
  <c r="F128" i="7"/>
  <c r="E128" i="7"/>
  <c r="D128" i="7"/>
  <c r="E132" i="7"/>
  <c r="F132" i="7"/>
  <c r="D132" i="7"/>
  <c r="K76" i="7"/>
  <c r="F138" i="7"/>
  <c r="F140" i="7" s="1"/>
  <c r="L68" i="7"/>
  <c r="G93" i="7"/>
  <c r="L72" i="7"/>
  <c r="L75" i="7" s="1"/>
  <c r="G92" i="7"/>
  <c r="C131" i="7" l="1"/>
  <c r="C129" i="7"/>
  <c r="F131" i="7"/>
  <c r="F130" i="7"/>
  <c r="E108" i="7"/>
  <c r="E107" i="7"/>
  <c r="E109" i="7"/>
  <c r="D106" i="7"/>
  <c r="C106" i="7"/>
  <c r="D107" i="7"/>
  <c r="E106" i="7"/>
  <c r="F107" i="7"/>
  <c r="F108" i="7"/>
  <c r="G108" i="7"/>
  <c r="G106" i="7"/>
  <c r="F109" i="7"/>
  <c r="G107" i="7"/>
  <c r="F106" i="7"/>
  <c r="G109" i="7"/>
  <c r="D108" i="7"/>
  <c r="D109" i="7"/>
  <c r="G105" i="7"/>
  <c r="D105" i="7"/>
  <c r="F105" i="7"/>
  <c r="E105" i="7"/>
  <c r="C105" i="7"/>
  <c r="C109" i="7"/>
  <c r="C108" i="7"/>
  <c r="C107" i="7"/>
  <c r="G138" i="7"/>
  <c r="G139" i="7"/>
  <c r="G94" i="7"/>
  <c r="L76" i="7"/>
  <c r="E151" i="7" l="1"/>
  <c r="F151" i="7"/>
  <c r="C151" i="7"/>
  <c r="D151" i="7"/>
  <c r="G151" i="7"/>
  <c r="D150" i="7"/>
  <c r="E150" i="7"/>
  <c r="F150" i="7"/>
  <c r="G150" i="7"/>
  <c r="D152" i="7"/>
  <c r="E152" i="7"/>
  <c r="C150" i="7"/>
  <c r="F152" i="7"/>
  <c r="C152" i="7"/>
  <c r="G152" i="7"/>
  <c r="C153" i="7"/>
  <c r="G149" i="7"/>
  <c r="D153" i="7"/>
  <c r="E153" i="7"/>
  <c r="F153" i="7"/>
  <c r="G153" i="7"/>
  <c r="C149" i="7"/>
  <c r="E149" i="7"/>
  <c r="D149" i="7"/>
  <c r="F149" i="7"/>
  <c r="G140" i="7"/>
  <c r="C141" i="7" s="1"/>
  <c r="C143" i="7" s="1"/>
  <c r="G143" i="7" s="1"/>
  <c r="C95" i="7"/>
  <c r="C97" i="7" s="1"/>
  <c r="C99" i="7" l="1"/>
  <c r="G99" i="7" l="1"/>
</calcChain>
</file>

<file path=xl/sharedStrings.xml><?xml version="1.0" encoding="utf-8"?>
<sst xmlns="http://purl.oclc.org/ooxml/spreadsheetml/main" count="142" uniqueCount="94">
  <si>
    <t>Revenue</t>
  </si>
  <si>
    <t>Income Tax Expense</t>
  </si>
  <si>
    <t>Dividends per Share</t>
  </si>
  <si>
    <t>FCFE</t>
  </si>
  <si>
    <t>FCFF</t>
  </si>
  <si>
    <t>Estimates</t>
  </si>
  <si>
    <t>YOY Growth Rate %</t>
  </si>
  <si>
    <t>% of Revenues</t>
  </si>
  <si>
    <t>Dividends</t>
  </si>
  <si>
    <t>Cash and Equivalents</t>
  </si>
  <si>
    <t>Total Current Assets</t>
  </si>
  <si>
    <t>Depreciation and Amortization</t>
  </si>
  <si>
    <t>Capital Expenditures</t>
  </si>
  <si>
    <t>FCFE (Levered)</t>
  </si>
  <si>
    <t>Free Cash Flows to the Firm (Unlevered)</t>
  </si>
  <si>
    <t>Free Cash Flows to Equity (Levered)</t>
  </si>
  <si>
    <t>Marginal Tax Rate</t>
  </si>
  <si>
    <t>Effective Tax Rate</t>
  </si>
  <si>
    <t>Balance Sheet Items</t>
  </si>
  <si>
    <t>WACC</t>
  </si>
  <si>
    <t>Beta</t>
  </si>
  <si>
    <t>D/E</t>
  </si>
  <si>
    <t>Statement of Cash Flow Items</t>
  </si>
  <si>
    <t>Terminal Growth Rate</t>
  </si>
  <si>
    <t>Exit Multiple</t>
  </si>
  <si>
    <t>% of Sales</t>
  </si>
  <si>
    <t>FCFF (Unlevered)</t>
  </si>
  <si>
    <t>Cost of Revenues</t>
  </si>
  <si>
    <t>Net Working Capital</t>
  </si>
  <si>
    <t>Δ Net Working Capital</t>
  </si>
  <si>
    <t>Income Statement Items</t>
  </si>
  <si>
    <t>Accounts payable</t>
  </si>
  <si>
    <t>Accrued expenses</t>
  </si>
  <si>
    <t>Other current non-debt liabilities</t>
  </si>
  <si>
    <t>Gross Profit</t>
  </si>
  <si>
    <t>Operating Income or EBIT</t>
  </si>
  <si>
    <t>Operating Expenses</t>
  </si>
  <si>
    <t>Terminal Value</t>
  </si>
  <si>
    <t>PV of Cash Flow</t>
  </si>
  <si>
    <t>Sum of PV of Cash Flows</t>
  </si>
  <si>
    <t>Shares Outstanding</t>
  </si>
  <si>
    <t>Estimate of Value</t>
  </si>
  <si>
    <t>Target D/E</t>
  </si>
  <si>
    <t>Unlevered Beta</t>
  </si>
  <si>
    <t>Relevered Beta</t>
  </si>
  <si>
    <t>Cost of Equity</t>
  </si>
  <si>
    <t>Cost of Debt</t>
  </si>
  <si>
    <t>Total Debt</t>
  </si>
  <si>
    <t>Equity Value</t>
  </si>
  <si>
    <t>Current Price</t>
  </si>
  <si>
    <t>Premium to Current</t>
  </si>
  <si>
    <t>Other Expenses (Gains)</t>
  </si>
  <si>
    <t>Net Income</t>
  </si>
  <si>
    <t>% Gross Margin</t>
  </si>
  <si>
    <t>% YOY Growth Rate</t>
  </si>
  <si>
    <t>Net Interest Expense (Income)</t>
  </si>
  <si>
    <t>% Net Profit Margin</t>
  </si>
  <si>
    <t>% Operating Profit Margin</t>
  </si>
  <si>
    <t>Δ Net Debt</t>
  </si>
  <si>
    <r>
      <t xml:space="preserve">EBIT </t>
    </r>
    <r>
      <rPr>
        <sz val="12"/>
        <rFont val="Times New Roman"/>
        <family val="1"/>
      </rPr>
      <t>×</t>
    </r>
    <r>
      <rPr>
        <sz val="12"/>
        <rFont val="Arial"/>
        <family val="2"/>
      </rPr>
      <t xml:space="preserve"> (1-t)</t>
    </r>
  </si>
  <si>
    <t>Other Items</t>
  </si>
  <si>
    <t>Terminal Value (FCFF)</t>
  </si>
  <si>
    <t>Terminal Value (FCFE)</t>
  </si>
  <si>
    <t>Inputs and Assumptions</t>
  </si>
  <si>
    <r>
      <rPr>
        <i/>
        <sz val="12"/>
        <rFont val="Arial"/>
        <family val="2"/>
      </rPr>
      <t xml:space="preserve">add </t>
    </r>
    <r>
      <rPr>
        <sz val="12"/>
        <rFont val="Arial"/>
        <family val="2"/>
      </rPr>
      <t>Depreciation and Amortization</t>
    </r>
  </si>
  <si>
    <r>
      <rPr>
        <i/>
        <sz val="12"/>
        <rFont val="Arial"/>
        <family val="2"/>
      </rPr>
      <t xml:space="preserve">less </t>
    </r>
    <r>
      <rPr>
        <sz val="12"/>
        <rFont val="Arial"/>
        <family val="2"/>
      </rPr>
      <t>Capital Expenditures</t>
    </r>
  </si>
  <si>
    <r>
      <rPr>
        <i/>
        <sz val="12"/>
        <rFont val="Arial"/>
        <family val="2"/>
      </rPr>
      <t xml:space="preserve">less </t>
    </r>
    <r>
      <rPr>
        <sz val="12"/>
        <rFont val="Arial"/>
        <family val="2"/>
      </rPr>
      <t>Change in NWC</t>
    </r>
  </si>
  <si>
    <r>
      <rPr>
        <i/>
        <sz val="12"/>
        <rFont val="Arial"/>
        <family val="2"/>
      </rPr>
      <t xml:space="preserve">less </t>
    </r>
    <r>
      <rPr>
        <sz val="12"/>
        <rFont val="Arial"/>
        <family val="2"/>
      </rPr>
      <t>Interest Expense × (1-t)</t>
    </r>
  </si>
  <si>
    <r>
      <rPr>
        <i/>
        <sz val="12"/>
        <rFont val="Arial"/>
        <family val="2"/>
      </rPr>
      <t xml:space="preserve">add </t>
    </r>
    <r>
      <rPr>
        <sz val="12"/>
        <rFont val="Arial"/>
        <family val="2"/>
      </rPr>
      <t>Change</t>
    </r>
    <r>
      <rPr>
        <i/>
        <sz val="12"/>
        <rFont val="Arial"/>
        <family val="2"/>
      </rPr>
      <t xml:space="preserve"> </t>
    </r>
    <r>
      <rPr>
        <sz val="12"/>
        <rFont val="Arial"/>
        <family val="2"/>
      </rPr>
      <t>in Net Debt</t>
    </r>
  </si>
  <si>
    <t>Debt and Leases - LT, ST, and Current</t>
  </si>
  <si>
    <t>E/D+E</t>
  </si>
  <si>
    <t>D/D+E</t>
  </si>
  <si>
    <t>Expected Return of the Market</t>
  </si>
  <si>
    <t>Risk-free Rate</t>
  </si>
  <si>
    <t>Terminal Growth</t>
  </si>
  <si>
    <t>Required Return by CAPM</t>
  </si>
  <si>
    <t>Dividend Discount Model</t>
  </si>
  <si>
    <t>EBITDA (Current Year)</t>
  </si>
  <si>
    <t>Enterprise Value</t>
  </si>
  <si>
    <t>EBITDA (Terminal Year)</t>
  </si>
  <si>
    <t>EV/EBITDA (Current Year)</t>
  </si>
  <si>
    <t>Free Cash Flows to the Firm (Unlevered): Perpetual Growth</t>
  </si>
  <si>
    <t>Free Cash Flows to the Firm (Unlevered): Exit Multiple</t>
  </si>
  <si>
    <t>Current Stock Price</t>
  </si>
  <si>
    <t>Terminal Val., Exit Mult.</t>
  </si>
  <si>
    <t>EV/EBITDA (Terminal Year)</t>
  </si>
  <si>
    <t>Sensitivity Table</t>
  </si>
  <si>
    <t>Terminal Value (Exit Mult.)</t>
  </si>
  <si>
    <t>Equity Valuation Models: FCFF, FCFE, and DDM</t>
  </si>
  <si>
    <t>Company Name:</t>
  </si>
  <si>
    <t>Ticker:</t>
  </si>
  <si>
    <t>Stock Price:</t>
  </si>
  <si>
    <t>Lions Gate Entertainment</t>
  </si>
  <si>
    <t>LGF-A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</si>
</sst>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_)\ ;_(* 0_)"/>
    <numFmt numFmtId="165" formatCode="_(* #,##0.0_);_(* \(#,##0.0\);_(* &quot;-&quot;?_);_(@_)"/>
    <numFmt numFmtId="166" formatCode="0.0%"/>
    <numFmt numFmtId="167" formatCode="&quot;$&quot;#,##0.00"/>
    <numFmt numFmtId="168" formatCode="_(* #,##0.0_);_(* \(#,##0.0\);_(* &quot;-&quot;??_);_(@_)"/>
    <numFmt numFmtId="169" formatCode="_(&quot;$&quot;* #,##0.0_);_(&quot;$&quot;* \(#,##0.0\);_(&quot;$&quot;* &quot;-&quot;??_);_(@_)"/>
  </numFmts>
  <fonts count="39" x14ac:knownFonts="1">
    <font>
      <sz val="10"/>
      <name val="Arial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  <font>
      <sz val="12"/>
      <color theme="4"/>
      <name val="Arial"/>
      <family val="2"/>
    </font>
    <font>
      <i/>
      <sz val="12"/>
      <color indexed="8"/>
      <name val="Arial"/>
      <family val="2"/>
    </font>
    <font>
      <sz val="12"/>
      <color rgb="FF373A3C"/>
      <name val="Open Sans"/>
    </font>
    <font>
      <sz val="12"/>
      <color rgb="FFFF0000"/>
      <name val="Open Sans"/>
    </font>
    <font>
      <sz val="11"/>
      <name val="Tahoma"/>
      <family val="2"/>
    </font>
    <font>
      <sz val="20"/>
      <color theme="0"/>
      <name val="Georgia"/>
      <family val="1"/>
    </font>
    <font>
      <sz val="20"/>
      <color rgb="FFEFE0D9"/>
      <name val="Times New Roman"/>
      <family val="1"/>
    </font>
    <font>
      <sz val="11"/>
      <color rgb="FFEFE0D9"/>
      <name val="Tahoma"/>
      <family val="2"/>
    </font>
    <font>
      <sz val="11"/>
      <color rgb="FFFF0000"/>
      <name val="Tahoma"/>
      <family val="2"/>
    </font>
    <font>
      <sz val="11"/>
      <color theme="0"/>
      <name val="Tahoma"/>
      <family val="2"/>
    </font>
    <font>
      <sz val="11"/>
      <name val="Arial"/>
      <family val="2"/>
    </font>
    <font>
      <u/>
      <sz val="11"/>
      <color theme="4"/>
      <name val="Tahoma"/>
      <family val="2"/>
    </font>
    <font>
      <sz val="11"/>
      <color rgb="FFEFE0D9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00066"/>
        <bgColor indexed="64"/>
      </patternFill>
    </fill>
  </fills>
  <borders count="8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 style="double">
        <color indexed="64"/>
      </top>
      <bottom/>
      <diagonal/>
    </border>
    <border>
      <start/>
      <end/>
      <top style="thin">
        <color indexed="64"/>
      </top>
      <bottom style="double">
        <color indexed="64"/>
      </bottom>
      <diagonal/>
    </border>
    <border>
      <start/>
      <end/>
      <top/>
      <bottom style="double">
        <color indexed="64"/>
      </bottom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 applyAlignment="0"/>
    <xf numFmtId="0" fontId="2" fillId="0" borderId="0" applyAlignment="0"/>
    <xf numFmtId="0" fontId="3" fillId="2" borderId="0" applyAlignment="0"/>
    <xf numFmtId="0" fontId="4" fillId="3" borderId="0" applyAlignment="0"/>
    <xf numFmtId="0" fontId="5" fillId="4" borderId="0" applyAlignment="0"/>
    <xf numFmtId="0" fontId="6" fillId="5" borderId="0" applyAlignment="0"/>
    <xf numFmtId="0" fontId="7" fillId="0" borderId="0" applyAlignment="0"/>
    <xf numFmtId="0" fontId="8" fillId="0" borderId="0" applyAlignment="0"/>
    <xf numFmtId="0" fontId="9" fillId="0" borderId="0" applyAlignment="0"/>
    <xf numFmtId="0" fontId="10" fillId="0" borderId="0" applyAlignment="0"/>
    <xf numFmtId="0" fontId="11" fillId="0" borderId="0" applyAlignment="0"/>
    <xf numFmtId="0" fontId="10" fillId="0" borderId="0" applyAlignment="0">
      <alignment wrapText="1"/>
    </xf>
    <xf numFmtId="0" fontId="12" fillId="0" borderId="0" applyAlignment="0"/>
    <xf numFmtId="0" fontId="13" fillId="0" borderId="0" applyAlignment="0"/>
    <xf numFmtId="0" fontId="14" fillId="0" borderId="0" applyAlignment="0"/>
    <xf numFmtId="9" fontId="15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33" fillId="9" borderId="0">
      <alignment horizontal="center"/>
    </xf>
    <xf numFmtId="0" fontId="35" fillId="0" borderId="0" applyNumberFormat="0" applyFill="0" applyBorder="0" applyAlignment="0" applyProtection="0"/>
  </cellStyleXfs>
  <cellXfs count="113">
    <xf numFmtId="0" fontId="0" fillId="0" borderId="0" xfId="0"/>
    <xf numFmtId="0" fontId="17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horizontal="right" wrapText="1"/>
    </xf>
    <xf numFmtId="0" fontId="19" fillId="0" borderId="1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 indent="1"/>
    </xf>
    <xf numFmtId="0" fontId="21" fillId="0" borderId="0" xfId="0" applyFont="1"/>
    <xf numFmtId="0" fontId="23" fillId="0" borderId="2" xfId="0" applyFont="1" applyBorder="1" applyAlignment="1">
      <alignment horizontal="left" vertical="top"/>
    </xf>
    <xf numFmtId="165" fontId="21" fillId="0" borderId="0" xfId="0" applyNumberFormat="1" applyFont="1"/>
    <xf numFmtId="0" fontId="17" fillId="0" borderId="2" xfId="0" applyFont="1" applyBorder="1"/>
    <xf numFmtId="0" fontId="21" fillId="0" borderId="3" xfId="0" applyFont="1" applyBorder="1"/>
    <xf numFmtId="0" fontId="19" fillId="0" borderId="1" xfId="0" applyFont="1" applyBorder="1" applyAlignment="1">
      <alignment wrapText="1"/>
    </xf>
    <xf numFmtId="0" fontId="21" fillId="0" borderId="0" xfId="0" applyFont="1" applyAlignment="1">
      <alignment horizontal="left" indent="1"/>
    </xf>
    <xf numFmtId="167" fontId="17" fillId="6" borderId="0" xfId="0" applyNumberFormat="1" applyFont="1" applyFill="1"/>
    <xf numFmtId="0" fontId="17" fillId="0" borderId="1" xfId="0" applyFont="1" applyBorder="1"/>
    <xf numFmtId="0" fontId="25" fillId="0" borderId="3" xfId="0" applyFont="1" applyBorder="1" applyAlignment="1">
      <alignment horizontal="left" vertical="top" indent="1"/>
    </xf>
    <xf numFmtId="0" fontId="17" fillId="0" borderId="0" xfId="0" applyFont="1" applyAlignment="1">
      <alignment horizontal="right"/>
    </xf>
    <xf numFmtId="166" fontId="17" fillId="0" borderId="0" xfId="0" applyNumberFormat="1" applyFont="1" applyAlignment="1">
      <alignment horizontal="right"/>
    </xf>
    <xf numFmtId="0" fontId="21" fillId="0" borderId="1" xfId="0" applyFont="1" applyBorder="1"/>
    <xf numFmtId="10" fontId="21" fillId="0" borderId="0" xfId="0" applyNumberFormat="1" applyFont="1"/>
    <xf numFmtId="164" fontId="23" fillId="0" borderId="0" xfId="0" applyNumberFormat="1" applyFont="1" applyAlignment="1">
      <alignment horizontal="right" vertical="top" wrapText="1"/>
    </xf>
    <xf numFmtId="164" fontId="23" fillId="6" borderId="0" xfId="0" applyNumberFormat="1" applyFont="1" applyFill="1" applyAlignment="1">
      <alignment horizontal="right" vertical="top" wrapText="1"/>
    </xf>
    <xf numFmtId="164" fontId="24" fillId="6" borderId="0" xfId="0" applyNumberFormat="1" applyFont="1" applyFill="1" applyAlignment="1">
      <alignment horizontal="right" vertical="top" wrapText="1"/>
    </xf>
    <xf numFmtId="166" fontId="25" fillId="0" borderId="0" xfId="16" applyNumberFormat="1" applyFont="1" applyFill="1" applyBorder="1" applyAlignment="1">
      <alignment horizontal="right" vertical="top" wrapText="1"/>
    </xf>
    <xf numFmtId="0" fontId="22" fillId="0" borderId="1" xfId="0" applyFont="1" applyBorder="1" applyAlignment="1">
      <alignment horizontal="right"/>
    </xf>
    <xf numFmtId="166" fontId="25" fillId="0" borderId="0" xfId="16" applyNumberFormat="1" applyFont="1" applyFill="1" applyAlignment="1">
      <alignment horizontal="right" vertical="top" wrapText="1"/>
    </xf>
    <xf numFmtId="166" fontId="21" fillId="0" borderId="0" xfId="16" applyNumberFormat="1" applyFont="1" applyFill="1" applyBorder="1" applyAlignment="1">
      <alignment horizontal="right" vertical="top" wrapText="1"/>
    </xf>
    <xf numFmtId="165" fontId="17" fillId="6" borderId="0" xfId="0" applyNumberFormat="1" applyFont="1" applyFill="1" applyAlignment="1">
      <alignment horizontal="right"/>
    </xf>
    <xf numFmtId="165" fontId="24" fillId="6" borderId="0" xfId="0" applyNumberFormat="1" applyFont="1" applyFill="1" applyAlignment="1">
      <alignment horizontal="right"/>
    </xf>
    <xf numFmtId="165" fontId="17" fillId="0" borderId="2" xfId="0" applyNumberFormat="1" applyFont="1" applyBorder="1" applyAlignment="1">
      <alignment horizontal="right"/>
    </xf>
    <xf numFmtId="165" fontId="17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right"/>
    </xf>
    <xf numFmtId="166" fontId="17" fillId="6" borderId="0" xfId="0" applyNumberFormat="1" applyFont="1" applyFill="1" applyAlignment="1">
      <alignment horizontal="right"/>
    </xf>
    <xf numFmtId="166" fontId="24" fillId="6" borderId="0" xfId="0" applyNumberFormat="1" applyFont="1" applyFill="1" applyAlignment="1">
      <alignment horizontal="right"/>
    </xf>
    <xf numFmtId="167" fontId="17" fillId="6" borderId="0" xfId="0" applyNumberFormat="1" applyFont="1" applyFill="1" applyAlignment="1">
      <alignment horizontal="right"/>
    </xf>
    <xf numFmtId="0" fontId="21" fillId="0" borderId="0" xfId="0" applyFont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6" fontId="21" fillId="0" borderId="0" xfId="0" applyNumberFormat="1" applyFont="1" applyAlignment="1">
      <alignment horizontal="right"/>
    </xf>
    <xf numFmtId="166" fontId="21" fillId="0" borderId="3" xfId="0" applyNumberFormat="1" applyFont="1" applyBorder="1" applyAlignment="1">
      <alignment horizontal="right"/>
    </xf>
    <xf numFmtId="43" fontId="17" fillId="0" borderId="0" xfId="0" applyNumberFormat="1" applyFont="1" applyAlignment="1">
      <alignment horizontal="right"/>
    </xf>
    <xf numFmtId="43" fontId="17" fillId="0" borderId="1" xfId="0" applyNumberFormat="1" applyFont="1" applyBorder="1" applyAlignment="1">
      <alignment horizontal="right"/>
    </xf>
    <xf numFmtId="2" fontId="17" fillId="6" borderId="0" xfId="0" applyNumberFormat="1" applyFont="1" applyFill="1" applyAlignment="1">
      <alignment horizontal="right"/>
    </xf>
    <xf numFmtId="0" fontId="23" fillId="0" borderId="0" xfId="0" applyFont="1" applyAlignment="1">
      <alignment horizontal="right" vertical="top"/>
    </xf>
    <xf numFmtId="10" fontId="17" fillId="6" borderId="0" xfId="16" applyNumberFormat="1" applyFont="1" applyFill="1" applyBorder="1" applyAlignment="1">
      <alignment horizontal="right"/>
    </xf>
    <xf numFmtId="166" fontId="17" fillId="6" borderId="0" xfId="16" applyNumberFormat="1" applyFont="1" applyFill="1" applyBorder="1" applyAlignment="1">
      <alignment horizontal="right"/>
    </xf>
    <xf numFmtId="2" fontId="17" fillId="0" borderId="0" xfId="0" applyNumberFormat="1" applyFont="1" applyAlignment="1">
      <alignment horizontal="right"/>
    </xf>
    <xf numFmtId="0" fontId="21" fillId="0" borderId="1" xfId="0" applyFont="1" applyBorder="1" applyAlignment="1">
      <alignment horizontal="right"/>
    </xf>
    <xf numFmtId="10" fontId="17" fillId="0" borderId="0" xfId="16" applyNumberFormat="1" applyFont="1" applyAlignment="1">
      <alignment horizontal="right"/>
    </xf>
    <xf numFmtId="165" fontId="17" fillId="7" borderId="0" xfId="0" applyNumberFormat="1" applyFont="1" applyFill="1" applyAlignment="1">
      <alignment horizontal="right"/>
    </xf>
    <xf numFmtId="165" fontId="17" fillId="7" borderId="1" xfId="0" applyNumberFormat="1" applyFont="1" applyFill="1" applyBorder="1" applyAlignment="1">
      <alignment horizontal="right"/>
    </xf>
    <xf numFmtId="165" fontId="21" fillId="0" borderId="0" xfId="0" applyNumberFormat="1" applyFont="1" applyAlignment="1">
      <alignment horizontal="right"/>
    </xf>
    <xf numFmtId="167" fontId="17" fillId="0" borderId="4" xfId="0" applyNumberFormat="1" applyFont="1" applyBorder="1" applyAlignment="1">
      <alignment horizontal="right"/>
    </xf>
    <xf numFmtId="10" fontId="17" fillId="0" borderId="0" xfId="0" applyNumberFormat="1" applyFont="1" applyAlignment="1">
      <alignment horizontal="right"/>
    </xf>
    <xf numFmtId="43" fontId="21" fillId="0" borderId="0" xfId="0" applyNumberFormat="1" applyFont="1" applyAlignment="1">
      <alignment horizontal="right"/>
    </xf>
    <xf numFmtId="10" fontId="21" fillId="0" borderId="0" xfId="0" applyNumberFormat="1" applyFont="1" applyAlignment="1">
      <alignment horizontal="right"/>
    </xf>
    <xf numFmtId="167" fontId="17" fillId="7" borderId="2" xfId="0" applyNumberFormat="1" applyFont="1" applyFill="1" applyBorder="1" applyAlignment="1">
      <alignment horizontal="right"/>
    </xf>
    <xf numFmtId="0" fontId="17" fillId="0" borderId="1" xfId="0" applyFont="1" applyBorder="1" applyAlignment="1">
      <alignment horizontal="right"/>
    </xf>
    <xf numFmtId="167" fontId="17" fillId="7" borderId="1" xfId="0" applyNumberFormat="1" applyFont="1" applyFill="1" applyBorder="1" applyAlignment="1">
      <alignment horizontal="right"/>
    </xf>
    <xf numFmtId="0" fontId="26" fillId="0" borderId="0" xfId="0" applyFont="1" applyAlignment="1">
      <alignment horizontal="right" vertical="top" wrapText="1"/>
    </xf>
    <xf numFmtId="0" fontId="27" fillId="0" borderId="0" xfId="0" applyFont="1" applyAlignment="1">
      <alignment horizontal="right" vertical="top" wrapText="1"/>
    </xf>
    <xf numFmtId="166" fontId="21" fillId="0" borderId="1" xfId="0" applyNumberFormat="1" applyFont="1" applyBorder="1" applyAlignment="1">
      <alignment horizontal="right"/>
    </xf>
    <xf numFmtId="10" fontId="17" fillId="0" borderId="0" xfId="16" applyNumberFormat="1" applyFont="1" applyFill="1" applyBorder="1" applyAlignment="1">
      <alignment horizontal="right"/>
    </xf>
    <xf numFmtId="0" fontId="21" fillId="0" borderId="7" xfId="0" applyFont="1" applyBorder="1" applyAlignment="1">
      <alignment horizontal="right"/>
    </xf>
    <xf numFmtId="10" fontId="17" fillId="6" borderId="0" xfId="16" applyNumberFormat="1" applyFont="1" applyFill="1" applyAlignment="1">
      <alignment horizontal="right"/>
    </xf>
    <xf numFmtId="168" fontId="17" fillId="0" borderId="0" xfId="0" applyNumberFormat="1" applyFont="1" applyAlignment="1">
      <alignment horizontal="right"/>
    </xf>
    <xf numFmtId="168" fontId="17" fillId="0" borderId="1" xfId="0" applyNumberFormat="1" applyFont="1" applyBorder="1" applyAlignment="1">
      <alignment horizontal="right"/>
    </xf>
    <xf numFmtId="168" fontId="17" fillId="6" borderId="0" xfId="0" applyNumberFormat="1" applyFont="1" applyFill="1" applyAlignment="1">
      <alignment horizontal="right"/>
    </xf>
    <xf numFmtId="167" fontId="21" fillId="0" borderId="0" xfId="0" applyNumberFormat="1" applyFont="1"/>
    <xf numFmtId="2" fontId="17" fillId="6" borderId="0" xfId="0" applyNumberFormat="1" applyFont="1" applyFill="1"/>
    <xf numFmtId="168" fontId="17" fillId="0" borderId="0" xfId="0" applyNumberFormat="1" applyFont="1"/>
    <xf numFmtId="9" fontId="21" fillId="0" borderId="0" xfId="0" applyNumberFormat="1" applyFont="1"/>
    <xf numFmtId="10" fontId="17" fillId="0" borderId="0" xfId="16" applyNumberFormat="1" applyFont="1" applyBorder="1" applyAlignment="1">
      <alignment horizontal="right"/>
    </xf>
    <xf numFmtId="167" fontId="21" fillId="0" borderId="0" xfId="0" applyNumberFormat="1" applyFont="1" applyAlignment="1">
      <alignment horizontal="right"/>
    </xf>
    <xf numFmtId="10" fontId="17" fillId="0" borderId="6" xfId="16" applyNumberFormat="1" applyFont="1" applyBorder="1" applyAlignment="1">
      <alignment horizontal="right"/>
    </xf>
    <xf numFmtId="10" fontId="21" fillId="0" borderId="1" xfId="0" applyNumberFormat="1" applyFont="1" applyBorder="1"/>
    <xf numFmtId="2" fontId="21" fillId="0" borderId="1" xfId="0" applyNumberFormat="1" applyFont="1" applyBorder="1"/>
    <xf numFmtId="167" fontId="17" fillId="0" borderId="0" xfId="0" applyNumberFormat="1" applyFont="1" applyAlignment="1">
      <alignment horizontal="right"/>
    </xf>
    <xf numFmtId="167" fontId="17" fillId="0" borderId="5" xfId="0" applyNumberFormat="1" applyFont="1" applyBorder="1" applyAlignment="1">
      <alignment horizontal="right"/>
    </xf>
    <xf numFmtId="0" fontId="28" fillId="8" borderId="0" xfId="0" applyFont="1" applyFill="1"/>
    <xf numFmtId="0" fontId="31" fillId="8" borderId="0" xfId="0" applyFont="1" applyFill="1"/>
    <xf numFmtId="0" fontId="32" fillId="8" borderId="0" xfId="0" applyFont="1" applyFill="1"/>
    <xf numFmtId="0" fontId="28" fillId="9" borderId="0" xfId="0" applyFont="1" applyFill="1"/>
    <xf numFmtId="0" fontId="32" fillId="9" borderId="0" xfId="0" applyFont="1" applyFill="1"/>
    <xf numFmtId="0" fontId="32" fillId="9" borderId="0" xfId="18" applyFont="1" applyAlignment="1">
      <alignment horizontal="right"/>
    </xf>
    <xf numFmtId="0" fontId="34" fillId="9" borderId="0" xfId="18" applyFont="1">
      <alignment horizontal="center"/>
    </xf>
    <xf numFmtId="0" fontId="36" fillId="9" borderId="0" xfId="19" applyFont="1" applyFill="1" applyAlignment="1">
      <alignment horizontal="center"/>
    </xf>
    <xf numFmtId="0" fontId="31" fillId="9" borderId="0" xfId="0" applyFont="1" applyFill="1"/>
    <xf numFmtId="0" fontId="29" fillId="8" borderId="0" xfId="0" applyFont="1" applyFill="1" applyAlignment="1">
      <alignment vertical="center"/>
    </xf>
    <xf numFmtId="0" fontId="28" fillId="0" borderId="0" xfId="0" applyFont="1"/>
    <xf numFmtId="0" fontId="32" fillId="0" borderId="0" xfId="0" applyFont="1"/>
    <xf numFmtId="0" fontId="32" fillId="0" borderId="0" xfId="18" applyFont="1" applyFill="1" applyAlignment="1">
      <alignment horizontal="right"/>
    </xf>
    <xf numFmtId="0" fontId="34" fillId="0" borderId="0" xfId="18" applyFont="1" applyFill="1">
      <alignment horizontal="center"/>
    </xf>
    <xf numFmtId="0" fontId="36" fillId="0" borderId="0" xfId="19" applyFont="1" applyFill="1" applyAlignment="1">
      <alignment horizontal="center"/>
    </xf>
    <xf numFmtId="0" fontId="31" fillId="0" borderId="0" xfId="0" applyFont="1"/>
    <xf numFmtId="169" fontId="17" fillId="6" borderId="0" xfId="17" applyNumberFormat="1" applyFont="1" applyFill="1" applyBorder="1" applyAlignment="1">
      <alignment horizontal="right"/>
    </xf>
    <xf numFmtId="169" fontId="24" fillId="6" borderId="0" xfId="17" applyNumberFormat="1" applyFont="1" applyFill="1" applyBorder="1" applyAlignment="1">
      <alignment horizontal="right"/>
    </xf>
    <xf numFmtId="169" fontId="17" fillId="6" borderId="2" xfId="17" applyNumberFormat="1" applyFont="1" applyFill="1" applyBorder="1" applyAlignment="1">
      <alignment horizontal="right"/>
    </xf>
    <xf numFmtId="169" fontId="24" fillId="6" borderId="2" xfId="17" applyNumberFormat="1" applyFont="1" applyFill="1" applyBorder="1" applyAlignment="1">
      <alignment horizontal="right"/>
    </xf>
    <xf numFmtId="169" fontId="17" fillId="0" borderId="0" xfId="17" applyNumberFormat="1" applyFont="1" applyBorder="1" applyAlignment="1">
      <alignment horizontal="right"/>
    </xf>
    <xf numFmtId="169" fontId="17" fillId="7" borderId="0" xfId="17" applyNumberFormat="1" applyFont="1" applyFill="1" applyBorder="1" applyAlignment="1">
      <alignment horizontal="right"/>
    </xf>
    <xf numFmtId="0" fontId="34" fillId="6" borderId="0" xfId="0" applyFont="1" applyFill="1"/>
    <xf numFmtId="0" fontId="38" fillId="0" borderId="1" xfId="0" applyFont="1" applyBorder="1"/>
    <xf numFmtId="167" fontId="17" fillId="0" borderId="0" xfId="0" applyNumberFormat="1" applyFont="1"/>
    <xf numFmtId="10" fontId="22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30" fillId="8" borderId="0" xfId="0" applyFont="1" applyFill="1" applyAlignment="1">
      <alignment horizontal="left"/>
    </xf>
    <xf numFmtId="0" fontId="29" fillId="8" borderId="0" xfId="0" applyFont="1" applyFill="1" applyAlignment="1">
      <alignment horizontal="left" vertical="center"/>
    </xf>
    <xf numFmtId="0" fontId="37" fillId="0" borderId="1" xfId="0" applyFont="1" applyBorder="1" applyAlignment="1">
      <alignment horizontal="center"/>
    </xf>
    <xf numFmtId="166" fontId="21" fillId="0" borderId="0" xfId="0" applyNumberFormat="1" applyFont="1"/>
    <xf numFmtId="166" fontId="17" fillId="0" borderId="0" xfId="0" applyNumberFormat="1" applyFont="1"/>
    <xf numFmtId="10" fontId="25" fillId="0" borderId="0" xfId="16" applyNumberFormat="1" applyFont="1" applyFill="1" applyBorder="1" applyAlignment="1">
      <alignment horizontal="right" vertical="top" wrapText="1"/>
    </xf>
    <xf numFmtId="9" fontId="25" fillId="0" borderId="0" xfId="16" applyFont="1" applyFill="1" applyBorder="1" applyAlignment="1">
      <alignment horizontal="right" vertical="top" wrapText="1"/>
    </xf>
  </cellXfs>
  <cellStyles count="23">
    <cellStyle name="ChartingText" xfId="14" xr:uid="{00000000-0005-0000-0000-000000000000}"/>
    <cellStyle name="CHPAboveAverage" xfId="15" xr:uid="{00000000-0005-0000-0000-000001000000}"/>
    <cellStyle name="CHPBelowAverage" xfId="15" xr:uid="{00000000-0005-0000-0000-000002000000}"/>
    <cellStyle name="CHPBottom" xfId="15" xr:uid="{00000000-0005-0000-0000-000003000000}"/>
    <cellStyle name="CHPTop" xfId="15" xr:uid="{00000000-0005-0000-0000-000004000000}"/>
    <cellStyle name="ColumnHeaderNormal" xfId="6" xr:uid="{00000000-0005-0000-0000-000005000000}"/>
    <cellStyle name="Currency" xfId="17" builtinId="4"/>
    <cellStyle name="Hyperlink" xfId="19" builtinId="8"/>
    <cellStyle name="Invisible" xfId="13" xr:uid="{00000000-0005-0000-0000-000006000000}"/>
    <cellStyle name="NavigationLink" xfId="18" xr:uid="{A0C6CD07-FF93-4691-81FA-27F2387258DF}"/>
    <cellStyle name="NewColumnHeaderNormal" xfId="4" xr:uid="{00000000-0005-0000-0000-000007000000}"/>
    <cellStyle name="NewSectionHeaderNormal" xfId="3" xr:uid="{00000000-0005-0000-0000-000008000000}"/>
    <cellStyle name="NewTitleNormal" xfId="2" xr:uid="{00000000-0005-0000-0000-000009000000}"/>
    <cellStyle name="Normal" xfId="0" builtinId="0"/>
    <cellStyle name="Percent" xfId="16" builtinId="5"/>
    <cellStyle name="SectionHeaderNormal" xfId="5" xr:uid="{00000000-0005-0000-0000-00000B000000}"/>
    <cellStyle name="SubScript" xfId="9" xr:uid="{00000000-0005-0000-0000-00000C000000}"/>
    <cellStyle name="SuperScript" xfId="8" xr:uid="{00000000-0005-0000-0000-00000D000000}"/>
    <cellStyle name="TextBold" xfId="10" xr:uid="{00000000-0005-0000-0000-00000E000000}"/>
    <cellStyle name="TextItalic" xfId="11" xr:uid="{00000000-0005-0000-0000-00000F000000}"/>
    <cellStyle name="TextNormal" xfId="7" xr:uid="{00000000-0005-0000-0000-000010000000}"/>
    <cellStyle name="TitleNormal" xfId="1" xr:uid="{00000000-0005-0000-0000-000011000000}"/>
    <cellStyle name="Total" xfId="12" builtinId="25" customBuiltin="1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</xdr:col>
      <xdr:colOff>2045523</xdr:colOff>
      <xdr:row>104</xdr:row>
      <xdr:rowOff>72389</xdr:rowOff>
    </xdr:from>
    <xdr:to>
      <xdr:col>1</xdr:col>
      <xdr:colOff>2270985</xdr:colOff>
      <xdr:row>108</xdr:row>
      <xdr:rowOff>165847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4052EF-A2CE-E28A-B55E-8BE79AC36E49}"/>
            </a:ext>
          </a:extLst>
        </xdr:cNvPr>
        <xdr:cNvSpPr txBox="1"/>
      </xdr:nvSpPr>
      <xdr:spPr>
        <a:xfrm rot="16200000">
          <a:off x="1898613" y="16243711"/>
          <a:ext cx="900281" cy="2254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WACC</a:t>
          </a:r>
        </a:p>
      </xdr:txBody>
    </xdr:sp>
    <xdr:clientData/>
  </xdr:twoCellAnchor>
  <xdr:twoCellAnchor>
    <xdr:from>
      <xdr:col>1</xdr:col>
      <xdr:colOff>1925783</xdr:colOff>
      <xdr:row>147</xdr:row>
      <xdr:rowOff>51343</xdr:rowOff>
    </xdr:from>
    <xdr:to>
      <xdr:col>1</xdr:col>
      <xdr:colOff>2149084</xdr:colOff>
      <xdr:row>153</xdr:row>
      <xdr:rowOff>139362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87E2D6-B907-4EE2-97AA-DBC1CB72ED01}"/>
            </a:ext>
          </a:extLst>
        </xdr:cNvPr>
        <xdr:cNvSpPr txBox="1"/>
      </xdr:nvSpPr>
      <xdr:spPr>
        <a:xfrm rot="16200000">
          <a:off x="1590013" y="24627678"/>
          <a:ext cx="1271360" cy="223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Cost of Equity</a:t>
          </a:r>
        </a:p>
        <a:p>
          <a:pPr algn="ctr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2017706</xdr:colOff>
      <xdr:row>126</xdr:row>
      <xdr:rowOff>55154</xdr:rowOff>
    </xdr:from>
    <xdr:to>
      <xdr:col>1</xdr:col>
      <xdr:colOff>2248627</xdr:colOff>
      <xdr:row>132</xdr:row>
      <xdr:rowOff>135553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DD857B-FE87-497A-BEDE-7E442032A0E4}"/>
            </a:ext>
          </a:extLst>
        </xdr:cNvPr>
        <xdr:cNvSpPr txBox="1"/>
      </xdr:nvSpPr>
      <xdr:spPr>
        <a:xfrm rot="16200000">
          <a:off x="1678350" y="20878863"/>
          <a:ext cx="1290634" cy="2309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WACC</a:t>
          </a:r>
        </a:p>
      </xdr:txBody>
    </xdr:sp>
    <xdr:clientData/>
  </xdr:twoCellAnchor>
  <xdr:twoCellAnchor>
    <xdr:from>
      <xdr:col>1</xdr:col>
      <xdr:colOff>1737525</xdr:colOff>
      <xdr:row>168</xdr:row>
      <xdr:rowOff>58387</xdr:rowOff>
    </xdr:from>
    <xdr:to>
      <xdr:col>1</xdr:col>
      <xdr:colOff>2206601</xdr:colOff>
      <xdr:row>174</xdr:row>
      <xdr:rowOff>146406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387179-7DC4-4A91-AD08-3D640659C114}"/>
            </a:ext>
          </a:extLst>
        </xdr:cNvPr>
        <xdr:cNvSpPr txBox="1"/>
      </xdr:nvSpPr>
      <xdr:spPr>
        <a:xfrm rot="16200000">
          <a:off x="1524642" y="28617670"/>
          <a:ext cx="1271360" cy="469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Discount</a:t>
          </a:r>
          <a:r>
            <a:rPr lang="en-US" sz="1200" baseline="0%">
              <a:latin typeface="Arial" panose="020B0604020202020204" pitchFamily="34" charset="0"/>
              <a:cs typeface="Arial" panose="020B0604020202020204" pitchFamily="34" charset="0"/>
            </a:rPr>
            <a:t> Rate k (CAPM)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E909-62F1-4A64-A28D-9CA0E196842F}">
  <sheetPr codeName="Sheet6">
    <outlinePr summaryRight="0"/>
    <pageSetUpPr autoPageBreaks="0"/>
  </sheetPr>
  <dimension ref="B1:AA271"/>
  <sheetViews>
    <sheetView tabSelected="1" zoomScale="116" zoomScaleNormal="100" workbookViewId="0">
      <pane ySplit="3" topLeftCell="A4" activePane="bottomLeft" state="frozen"/>
      <selection pane="bottomLeft" activeCell="K90" sqref="K90"/>
    </sheetView>
  </sheetViews>
  <sheetFormatPr baseColWidth="10" defaultColWidth="8.83203125" defaultRowHeight="16" outlineLevelRow="1" x14ac:dyDescent="0.2"/>
  <cols>
    <col min="1" max="1" width="2.83203125" style="1" customWidth="1"/>
    <col min="2" max="2" width="40.5" style="1" customWidth="1"/>
    <col min="3" max="12" width="15.83203125" style="17" customWidth="1"/>
    <col min="13" max="13" width="13.1640625" style="1" bestFit="1" customWidth="1"/>
    <col min="14" max="14" width="8.83203125" style="1"/>
    <col min="15" max="19" width="13" style="1" customWidth="1"/>
    <col min="20" max="20" width="8.83203125" style="1"/>
    <col min="21" max="24" width="11.83203125" style="1" bestFit="1" customWidth="1"/>
    <col min="25" max="25" width="13.1640625" style="1" bestFit="1" customWidth="1"/>
    <col min="26" max="16384" width="8.83203125" style="1"/>
  </cols>
  <sheetData>
    <row r="1" spans="2:27" s="79" customFormat="1" ht="14" customHeight="1" x14ac:dyDescent="0.15">
      <c r="B1" s="107" t="s">
        <v>88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88"/>
      <c r="N1" s="106"/>
      <c r="O1" s="106"/>
      <c r="P1" s="106"/>
      <c r="Q1" s="106"/>
      <c r="R1" s="80"/>
      <c r="S1" s="80"/>
      <c r="T1" s="80"/>
      <c r="U1" s="80"/>
      <c r="V1" s="80"/>
      <c r="W1" s="80"/>
      <c r="X1" s="80"/>
      <c r="Y1" s="80"/>
      <c r="Z1" s="81"/>
      <c r="AA1" s="81"/>
    </row>
    <row r="2" spans="2:27" s="79" customFormat="1" ht="14" customHeight="1" x14ac:dyDescent="0.15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88"/>
      <c r="N2" s="106"/>
      <c r="O2" s="106"/>
      <c r="P2" s="106"/>
      <c r="Q2" s="106"/>
      <c r="R2" s="80"/>
      <c r="S2" s="80"/>
      <c r="T2" s="80"/>
      <c r="U2" s="80"/>
      <c r="V2" s="80"/>
      <c r="W2" s="80"/>
      <c r="X2" s="80"/>
      <c r="Y2" s="80"/>
      <c r="Z2" s="81"/>
      <c r="AA2" s="81"/>
    </row>
    <row r="3" spans="2:27" s="82" customFormat="1" ht="14" x14ac:dyDescent="0.15">
      <c r="J3" s="83"/>
      <c r="K3" s="84"/>
      <c r="L3" s="85"/>
      <c r="M3" s="85"/>
      <c r="N3" s="86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3"/>
      <c r="AA3" s="83"/>
    </row>
    <row r="4" spans="2:27" s="89" customFormat="1" ht="14" x14ac:dyDescent="0.15">
      <c r="J4" s="90"/>
      <c r="K4" s="91"/>
      <c r="L4" s="92"/>
      <c r="M4" s="92"/>
      <c r="N4" s="93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0"/>
      <c r="AA4" s="90"/>
    </row>
    <row r="5" spans="2:27" s="89" customFormat="1" ht="14" x14ac:dyDescent="0.15">
      <c r="B5" s="102" t="s">
        <v>89</v>
      </c>
      <c r="C5" s="102" t="s">
        <v>90</v>
      </c>
      <c r="D5" s="102" t="s">
        <v>91</v>
      </c>
      <c r="J5" s="90"/>
      <c r="K5" s="91"/>
      <c r="L5" s="92"/>
      <c r="M5" s="92"/>
      <c r="N5" s="93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0"/>
      <c r="AA5" s="90"/>
    </row>
    <row r="6" spans="2:27" s="89" customFormat="1" ht="17" x14ac:dyDescent="0.2">
      <c r="B6" s="2" t="s">
        <v>92</v>
      </c>
      <c r="C6" s="101" t="s">
        <v>93</v>
      </c>
      <c r="D6" s="14">
        <v>10.19</v>
      </c>
      <c r="J6" s="90"/>
      <c r="K6" s="91"/>
      <c r="L6" s="92"/>
      <c r="M6" s="92"/>
      <c r="N6" s="93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0"/>
      <c r="AA6" s="90"/>
    </row>
    <row r="7" spans="2:27" x14ac:dyDescent="0.2">
      <c r="C7" s="3"/>
      <c r="D7" s="3"/>
      <c r="E7" s="3"/>
      <c r="H7" s="108" t="s">
        <v>5</v>
      </c>
      <c r="I7" s="108"/>
      <c r="J7" s="108"/>
      <c r="K7" s="108"/>
      <c r="L7" s="108"/>
    </row>
    <row r="8" spans="2:27" ht="17" x14ac:dyDescent="0.2">
      <c r="B8" s="12" t="s">
        <v>30</v>
      </c>
      <c r="C8" s="25">
        <f t="shared" ref="C8:E8" ca="1" si="0">D8-1</f>
        <v>2019</v>
      </c>
      <c r="D8" s="25">
        <f t="shared" ca="1" si="0"/>
        <v>2020</v>
      </c>
      <c r="E8" s="25">
        <f t="shared" ca="1" si="0"/>
        <v>2021</v>
      </c>
      <c r="F8" s="25">
        <f ca="1">G8-1</f>
        <v>2022</v>
      </c>
      <c r="G8" s="25">
        <f ca="1">YEAR(TODAY())-1</f>
        <v>2023</v>
      </c>
      <c r="H8" s="25">
        <f ca="1">G8+1</f>
        <v>2024</v>
      </c>
      <c r="I8" s="25">
        <f t="shared" ref="I8:L8" ca="1" si="1">H8+1</f>
        <v>2025</v>
      </c>
      <c r="J8" s="25">
        <f t="shared" ca="1" si="1"/>
        <v>2026</v>
      </c>
      <c r="K8" s="25">
        <f t="shared" ca="1" si="1"/>
        <v>2027</v>
      </c>
      <c r="L8" s="25">
        <f t="shared" ca="1" si="1"/>
        <v>2028</v>
      </c>
    </row>
    <row r="9" spans="2:27" x14ac:dyDescent="0.2">
      <c r="B9" s="5" t="s">
        <v>0</v>
      </c>
      <c r="C9" s="95">
        <v>3680.5</v>
      </c>
      <c r="D9" s="95">
        <v>3890</v>
      </c>
      <c r="E9" s="95">
        <v>3271.5</v>
      </c>
      <c r="F9" s="95">
        <v>3604.3</v>
      </c>
      <c r="G9" s="95">
        <v>3854.8</v>
      </c>
      <c r="H9" s="96">
        <f>G9*(1+H10)</f>
        <v>3353.6759999999999</v>
      </c>
      <c r="I9" s="96">
        <f>G9*(1-0.34)</f>
        <v>2544.1679999999997</v>
      </c>
      <c r="J9" s="96">
        <f t="shared" ref="I9:L9" si="2">I9*(1+J10)</f>
        <v>2722.2597599999999</v>
      </c>
      <c r="K9" s="96">
        <f t="shared" si="2"/>
        <v>2912.8179432000002</v>
      </c>
      <c r="L9" s="96">
        <f t="shared" si="2"/>
        <v>3116.7151992240006</v>
      </c>
    </row>
    <row r="10" spans="2:27" s="7" customFormat="1" outlineLevel="1" x14ac:dyDescent="0.2">
      <c r="B10" s="6" t="s">
        <v>54</v>
      </c>
      <c r="C10" s="26"/>
      <c r="D10" s="26">
        <f>(D9-C9)/C9</f>
        <v>5.6921613911153378E-2</v>
      </c>
      <c r="E10" s="26">
        <f t="shared" ref="E10:L10" si="3">(E9-D9)/D9</f>
        <v>-0.1589974293059126</v>
      </c>
      <c r="F10" s="26">
        <f t="shared" si="3"/>
        <v>0.10172703652758679</v>
      </c>
      <c r="G10" s="24">
        <f t="shared" si="3"/>
        <v>6.9500319063341004E-2</v>
      </c>
      <c r="H10" s="27">
        <v>-0.13</v>
      </c>
      <c r="I10" s="27">
        <f>(I9-H9)/H9</f>
        <v>-0.24137931034482768</v>
      </c>
      <c r="J10" s="27">
        <v>7.0000000000000007E-2</v>
      </c>
      <c r="K10" s="27">
        <v>7.0000000000000007E-2</v>
      </c>
      <c r="L10" s="27">
        <v>7.0000000000000007E-2</v>
      </c>
      <c r="O10" s="109"/>
    </row>
    <row r="11" spans="2:27" x14ac:dyDescent="0.2">
      <c r="B11" s="5" t="s">
        <v>27</v>
      </c>
      <c r="C11" s="28">
        <v>2028.2</v>
      </c>
      <c r="D11" s="28">
        <v>2059.6999999999998</v>
      </c>
      <c r="E11" s="28">
        <v>1675.3</v>
      </c>
      <c r="F11" s="28">
        <v>1988.9</v>
      </c>
      <c r="G11" s="28">
        <v>2313.3000000000002</v>
      </c>
      <c r="H11" s="29">
        <f>H9*H12</f>
        <v>1671.3859155630005</v>
      </c>
      <c r="I11" s="29">
        <f t="shared" ref="I11:L11" si="4">I9*I12</f>
        <v>1267.9479359443451</v>
      </c>
      <c r="J11" s="29">
        <f t="shared" si="4"/>
        <v>1356.7042914604494</v>
      </c>
      <c r="K11" s="29">
        <f t="shared" si="4"/>
        <v>1451.673591862681</v>
      </c>
      <c r="L11" s="29">
        <f t="shared" si="4"/>
        <v>1553.2907432930688</v>
      </c>
    </row>
    <row r="12" spans="2:27" s="7" customFormat="1" outlineLevel="1" x14ac:dyDescent="0.2">
      <c r="B12" s="6" t="s">
        <v>7</v>
      </c>
      <c r="C12" s="24"/>
      <c r="D12" s="24">
        <f>D11/D9</f>
        <v>0.52948586118251928</v>
      </c>
      <c r="E12" s="24">
        <f t="shared" ref="E12:L12" si="5">E11/E9</f>
        <v>0.51208925569310715</v>
      </c>
      <c r="F12" s="24">
        <f t="shared" si="5"/>
        <v>0.55181311211608353</v>
      </c>
      <c r="G12" s="24">
        <f t="shared" si="5"/>
        <v>0.60010895506900486</v>
      </c>
      <c r="H12" s="24">
        <f>AVERAGE($D$12:$G$12)-0.05</f>
        <v>0.49837429601517874</v>
      </c>
      <c r="I12" s="24">
        <f t="shared" ref="I12:L12" si="6">AVERAGE($D$12:$G$12)-0.05</f>
        <v>0.49837429601517874</v>
      </c>
      <c r="J12" s="24">
        <f t="shared" si="6"/>
        <v>0.49837429601517874</v>
      </c>
      <c r="K12" s="24">
        <f t="shared" si="6"/>
        <v>0.49837429601517874</v>
      </c>
      <c r="L12" s="24">
        <f t="shared" si="6"/>
        <v>0.49837429601517874</v>
      </c>
    </row>
    <row r="13" spans="2:27" x14ac:dyDescent="0.2">
      <c r="B13" s="8" t="s">
        <v>34</v>
      </c>
      <c r="C13" s="30">
        <f t="shared" ref="C13:L13" si="7">C9-C11</f>
        <v>1652.3</v>
      </c>
      <c r="D13" s="30">
        <f t="shared" si="7"/>
        <v>1830.3000000000002</v>
      </c>
      <c r="E13" s="30">
        <f>E9-E11</f>
        <v>1596.2</v>
      </c>
      <c r="F13" s="30">
        <f t="shared" si="7"/>
        <v>1615.4</v>
      </c>
      <c r="G13" s="30">
        <f t="shared" si="7"/>
        <v>1541.5</v>
      </c>
      <c r="H13" s="30">
        <f t="shared" si="7"/>
        <v>1682.2900844369995</v>
      </c>
      <c r="I13" s="30">
        <f t="shared" si="7"/>
        <v>1276.2200640556546</v>
      </c>
      <c r="J13" s="30">
        <f t="shared" si="7"/>
        <v>1365.5554685395505</v>
      </c>
      <c r="K13" s="30">
        <f t="shared" si="7"/>
        <v>1461.1443513373192</v>
      </c>
      <c r="L13" s="30">
        <f t="shared" si="7"/>
        <v>1563.4244559309318</v>
      </c>
    </row>
    <row r="14" spans="2:27" s="7" customFormat="1" outlineLevel="1" x14ac:dyDescent="0.2">
      <c r="B14" s="6" t="s">
        <v>53</v>
      </c>
      <c r="C14" s="24">
        <f>C13/C9</f>
        <v>0.44893356880858576</v>
      </c>
      <c r="D14" s="24">
        <f t="shared" ref="D14:L14" si="8">D13/D9</f>
        <v>0.47051413881748078</v>
      </c>
      <c r="E14" s="24">
        <f t="shared" si="8"/>
        <v>0.48791074430689285</v>
      </c>
      <c r="F14" s="24">
        <f t="shared" si="8"/>
        <v>0.44818688788391642</v>
      </c>
      <c r="G14" s="24">
        <f t="shared" si="8"/>
        <v>0.39989104493099509</v>
      </c>
      <c r="H14" s="27">
        <f t="shared" si="8"/>
        <v>0.50162570398482131</v>
      </c>
      <c r="I14" s="27">
        <f t="shared" si="8"/>
        <v>0.50162570398482131</v>
      </c>
      <c r="J14" s="27">
        <f t="shared" si="8"/>
        <v>0.5016257039848212</v>
      </c>
      <c r="K14" s="27">
        <f t="shared" si="8"/>
        <v>0.50162570398482131</v>
      </c>
      <c r="L14" s="27">
        <f t="shared" si="8"/>
        <v>0.50162570398482131</v>
      </c>
    </row>
    <row r="15" spans="2:27" x14ac:dyDescent="0.2">
      <c r="B15" s="5" t="s">
        <v>36</v>
      </c>
      <c r="C15" s="28">
        <v>1522.3</v>
      </c>
      <c r="D15" s="28">
        <v>1632.6</v>
      </c>
      <c r="E15" s="28">
        <v>1377.5</v>
      </c>
      <c r="F15" s="28">
        <v>1514.1</v>
      </c>
      <c r="G15" s="28">
        <v>1513.1</v>
      </c>
      <c r="H15" s="29">
        <f>H16*H9</f>
        <v>1386.3893011500754</v>
      </c>
      <c r="I15" s="29">
        <f t="shared" ref="I15:L15" si="9">I16*I9</f>
        <v>1051.7436077690227</v>
      </c>
      <c r="J15" s="29">
        <f t="shared" si="9"/>
        <v>1125.3656603128543</v>
      </c>
      <c r="K15" s="29">
        <f t="shared" si="9"/>
        <v>1204.1412565347543</v>
      </c>
      <c r="L15" s="29">
        <f t="shared" si="9"/>
        <v>1288.4311444921873</v>
      </c>
    </row>
    <row r="16" spans="2:27" outlineLevel="1" x14ac:dyDescent="0.2">
      <c r="B16" s="6" t="s">
        <v>7</v>
      </c>
      <c r="C16" s="24">
        <f>C15/C9</f>
        <v>0.41361228094008967</v>
      </c>
      <c r="D16" s="24">
        <f>D15/D9</f>
        <v>0.41969151670951155</v>
      </c>
      <c r="E16" s="24">
        <f t="shared" ref="E16:L16" si="10">E15/E9</f>
        <v>0.42106067553110194</v>
      </c>
      <c r="F16" s="24">
        <f t="shared" si="10"/>
        <v>0.42008156923674494</v>
      </c>
      <c r="G16" s="24">
        <f t="shared" si="10"/>
        <v>0.3925236069316177</v>
      </c>
      <c r="H16" s="24">
        <f>AVERAGE($C$16:$G$16)</f>
        <v>0.41339392986981316</v>
      </c>
      <c r="I16" s="24">
        <f t="shared" ref="I16:L16" si="11">AVERAGE($C$16:$G$16)</f>
        <v>0.41339392986981316</v>
      </c>
      <c r="J16" s="24">
        <f t="shared" si="11"/>
        <v>0.41339392986981316</v>
      </c>
      <c r="K16" s="24">
        <f t="shared" si="11"/>
        <v>0.41339392986981316</v>
      </c>
      <c r="L16" s="24">
        <f t="shared" si="11"/>
        <v>0.41339392986981316</v>
      </c>
      <c r="N16" s="110"/>
    </row>
    <row r="17" spans="2:15" x14ac:dyDescent="0.2">
      <c r="B17" s="8" t="s">
        <v>35</v>
      </c>
      <c r="C17" s="30">
        <f>C13-C15</f>
        <v>130</v>
      </c>
      <c r="D17" s="30">
        <f>D13-D15</f>
        <v>197.70000000000027</v>
      </c>
      <c r="E17" s="30">
        <f>E13-E15</f>
        <v>218.70000000000005</v>
      </c>
      <c r="F17" s="30">
        <f>F13-F15</f>
        <v>101.30000000000018</v>
      </c>
      <c r="G17" s="30">
        <f>G13-G15</f>
        <v>28.400000000000091</v>
      </c>
      <c r="H17" s="30">
        <f t="shared" ref="H17:L17" si="12">H13-H15</f>
        <v>295.90078328692402</v>
      </c>
      <c r="I17" s="30">
        <f t="shared" si="12"/>
        <v>224.4764562866319</v>
      </c>
      <c r="J17" s="30">
        <f t="shared" si="12"/>
        <v>240.18980822669619</v>
      </c>
      <c r="K17" s="30">
        <f t="shared" si="12"/>
        <v>257.00309480256487</v>
      </c>
      <c r="L17" s="30">
        <f t="shared" si="12"/>
        <v>274.99331143874451</v>
      </c>
    </row>
    <row r="18" spans="2:15" s="7" customFormat="1" outlineLevel="1" x14ac:dyDescent="0.2">
      <c r="B18" s="6" t="s">
        <v>57</v>
      </c>
      <c r="C18" s="24">
        <f t="shared" ref="C18:L18" si="13">C17/C9</f>
        <v>3.5321287868496129E-2</v>
      </c>
      <c r="D18" s="24">
        <f t="shared" si="13"/>
        <v>5.0822622107969222E-2</v>
      </c>
      <c r="E18" s="24">
        <f t="shared" si="13"/>
        <v>6.685006877579093E-2</v>
      </c>
      <c r="F18" s="24">
        <f t="shared" si="13"/>
        <v>2.8105318647171484E-2</v>
      </c>
      <c r="G18" s="24">
        <f t="shared" si="13"/>
        <v>7.3674379993774229E-3</v>
      </c>
      <c r="H18" s="27">
        <f t="shared" si="13"/>
        <v>8.8231774115008141E-2</v>
      </c>
      <c r="I18" s="27">
        <f t="shared" si="13"/>
        <v>8.8231774115008099E-2</v>
      </c>
      <c r="J18" s="27">
        <f t="shared" si="13"/>
        <v>8.8231774115008113E-2</v>
      </c>
      <c r="K18" s="27">
        <f t="shared" si="13"/>
        <v>8.8231774115008085E-2</v>
      </c>
      <c r="L18" s="27">
        <f t="shared" si="13"/>
        <v>8.8231774115008113E-2</v>
      </c>
    </row>
    <row r="19" spans="2:15" s="7" customFormat="1" x14ac:dyDescent="0.2">
      <c r="B19" s="1" t="s">
        <v>51</v>
      </c>
      <c r="C19" s="31">
        <f t="shared" ref="C19:L19" si="14">-(C26-C17+C21+C23)</f>
        <v>239.20000000000002</v>
      </c>
      <c r="D19" s="31">
        <f t="shared" si="14"/>
        <v>218.30000000000024</v>
      </c>
      <c r="E19" s="31">
        <f t="shared" si="14"/>
        <v>60.400000000000055</v>
      </c>
      <c r="F19" s="31">
        <f t="shared" si="14"/>
        <v>110.40000000000015</v>
      </c>
      <c r="G19" s="31">
        <f t="shared" si="14"/>
        <v>1811.1000000000001</v>
      </c>
      <c r="H19" s="31">
        <f t="shared" si="14"/>
        <v>281.38132783662894</v>
      </c>
      <c r="I19" s="31">
        <f t="shared" si="14"/>
        <v>182.9316809795115</v>
      </c>
      <c r="J19" s="31">
        <f t="shared" si="14"/>
        <v>163.06978152807736</v>
      </c>
      <c r="K19" s="31">
        <f t="shared" si="14"/>
        <v>139.53085091664272</v>
      </c>
      <c r="L19" s="31">
        <f t="shared" si="14"/>
        <v>111.89742809011979</v>
      </c>
      <c r="N19" s="9"/>
    </row>
    <row r="20" spans="2:15" s="7" customFormat="1" outlineLevel="1" x14ac:dyDescent="0.2">
      <c r="B20" s="6" t="s">
        <v>7</v>
      </c>
      <c r="C20" s="24">
        <f>C19/C13</f>
        <v>0.14476789929189615</v>
      </c>
      <c r="D20" s="24">
        <f>D19/D13</f>
        <v>0.11927006501666405</v>
      </c>
      <c r="E20" s="24">
        <f t="shared" ref="E20" si="15">E19/E13</f>
        <v>3.7839869690515004E-2</v>
      </c>
      <c r="F20" s="24">
        <f t="shared" ref="F20" si="16">F19/F13</f>
        <v>6.8342206264702332E-2</v>
      </c>
      <c r="G20" s="24">
        <f>G19/G13</f>
        <v>1.1748945831981836</v>
      </c>
      <c r="H20" s="24">
        <f t="shared" ref="H20" si="17">H19/H13</f>
        <v>0.16726088469504172</v>
      </c>
      <c r="I20" s="24">
        <f t="shared" ref="I20" si="18">I19/I13</f>
        <v>0.14333866558889491</v>
      </c>
      <c r="J20" s="24">
        <f t="shared" ref="J20" si="19">J19/J13</f>
        <v>0.11941644648274818</v>
      </c>
      <c r="K20" s="24">
        <f t="shared" ref="K20" si="20">K19/K13</f>
        <v>9.5494227376601404E-2</v>
      </c>
      <c r="L20" s="24">
        <f t="shared" ref="L20" si="21">L19/L13</f>
        <v>7.1572008270454693E-2</v>
      </c>
    </row>
    <row r="21" spans="2:15" s="7" customFormat="1" x14ac:dyDescent="0.2">
      <c r="B21" s="5" t="s">
        <v>55</v>
      </c>
      <c r="C21" s="28">
        <v>198.9</v>
      </c>
      <c r="D21" s="28">
        <v>182.5</v>
      </c>
      <c r="E21" s="28">
        <v>175.7</v>
      </c>
      <c r="F21" s="28">
        <v>167.9</v>
      </c>
      <c r="G21" s="28">
        <v>214.8</v>
      </c>
      <c r="H21" s="29">
        <f>H22*H9</f>
        <v>172.3581345381649</v>
      </c>
      <c r="I21" s="29">
        <f t="shared" ref="I21:L21" si="22">I22*I9</f>
        <v>123.12194289102163</v>
      </c>
      <c r="J21" s="29">
        <f t="shared" si="22"/>
        <v>123.57369961339315</v>
      </c>
      <c r="K21" s="29">
        <f t="shared" si="22"/>
        <v>123.48540475673067</v>
      </c>
      <c r="L21" s="29">
        <f t="shared" si="22"/>
        <v>122.77923749202984</v>
      </c>
    </row>
    <row r="22" spans="2:15" s="7" customFormat="1" outlineLevel="1" x14ac:dyDescent="0.2">
      <c r="B22" s="6" t="s">
        <v>7</v>
      </c>
      <c r="C22" s="24">
        <f>C21/C$9</f>
        <v>5.4041570438799078E-2</v>
      </c>
      <c r="D22" s="24">
        <f>D21/D$9</f>
        <v>4.691516709511568E-2</v>
      </c>
      <c r="E22" s="24">
        <f t="shared" ref="E22:L22" si="23">E21/E$9</f>
        <v>5.3706250955219317E-2</v>
      </c>
      <c r="F22" s="24">
        <f t="shared" si="23"/>
        <v>4.6583247787365091E-2</v>
      </c>
      <c r="G22" s="24">
        <f t="shared" si="23"/>
        <v>5.5722735291065688E-2</v>
      </c>
      <c r="H22" s="24">
        <f>AVERAGE($C$22:$G$22)</f>
        <v>5.1393794313512965E-2</v>
      </c>
      <c r="I22" s="24">
        <f>H22-0.003</f>
        <v>4.8393794313512963E-2</v>
      </c>
      <c r="J22" s="24">
        <f t="shared" ref="J22:L22" si="24">I22-0.003</f>
        <v>4.539379431351296E-2</v>
      </c>
      <c r="K22" s="24">
        <f t="shared" si="24"/>
        <v>4.2393794313512957E-2</v>
      </c>
      <c r="L22" s="24">
        <f t="shared" si="24"/>
        <v>3.9393794313512955E-2</v>
      </c>
    </row>
    <row r="23" spans="2:15" s="7" customFormat="1" x14ac:dyDescent="0.2">
      <c r="B23" s="5" t="s">
        <v>1</v>
      </c>
      <c r="C23" s="28">
        <v>-8.5</v>
      </c>
      <c r="D23" s="28">
        <v>3.3</v>
      </c>
      <c r="E23" s="28">
        <v>17.100000000000001</v>
      </c>
      <c r="F23" s="28">
        <v>28.4</v>
      </c>
      <c r="G23" s="28">
        <v>21.3</v>
      </c>
      <c r="H23" s="29">
        <f>H24*H9</f>
        <v>11.517111033393038</v>
      </c>
      <c r="I23" s="29">
        <f t="shared" ref="I23:L23" si="25">I24*I9</f>
        <v>8.7371187149878207</v>
      </c>
      <c r="J23" s="29">
        <f t="shared" si="25"/>
        <v>9.3487170250369687</v>
      </c>
      <c r="K23" s="29">
        <f t="shared" si="25"/>
        <v>10.003127216789558</v>
      </c>
      <c r="L23" s="29">
        <f t="shared" si="25"/>
        <v>10.703346121964827</v>
      </c>
    </row>
    <row r="24" spans="2:15" s="7" customFormat="1" outlineLevel="1" x14ac:dyDescent="0.2">
      <c r="B24" s="6" t="s">
        <v>7</v>
      </c>
      <c r="C24" s="24">
        <f>C23/C$9</f>
        <v>-2.3094688221709007E-3</v>
      </c>
      <c r="D24" s="24">
        <f>D23/D$9</f>
        <v>8.4832904884318762E-4</v>
      </c>
      <c r="E24" s="24">
        <f t="shared" ref="E24" si="26">E23/E$9</f>
        <v>5.2269601100412661E-3</v>
      </c>
      <c r="F24" s="24">
        <f t="shared" ref="F24" si="27">F23/F$9</f>
        <v>7.8794772910135112E-3</v>
      </c>
      <c r="G24" s="24">
        <f t="shared" ref="G24" si="28">G23/G$9</f>
        <v>5.5255784995330492E-3</v>
      </c>
      <c r="H24" s="24">
        <f>AVERAGE($C$24:$G$24)</f>
        <v>3.4341752254520228E-3</v>
      </c>
      <c r="I24" s="24">
        <f t="shared" ref="I24:L24" si="29">AVERAGE($C$24:$G$24)</f>
        <v>3.4341752254520228E-3</v>
      </c>
      <c r="J24" s="24">
        <f t="shared" si="29"/>
        <v>3.4341752254520228E-3</v>
      </c>
      <c r="K24" s="24">
        <f t="shared" si="29"/>
        <v>3.4341752254520228E-3</v>
      </c>
      <c r="L24" s="24">
        <f t="shared" si="29"/>
        <v>3.4341752254520228E-3</v>
      </c>
    </row>
    <row r="25" spans="2:15" s="7" customFormat="1" outlineLevel="1" x14ac:dyDescent="0.2">
      <c r="B25" s="6" t="s">
        <v>17</v>
      </c>
      <c r="C25" s="111">
        <f t="shared" ref="C25:H25" si="30">C23/(C17-C19-C21)</f>
        <v>2.7588445309964297E-2</v>
      </c>
      <c r="D25" s="111">
        <f t="shared" si="30"/>
        <v>-1.6248153618906944E-2</v>
      </c>
      <c r="E25" s="112">
        <f>E23/(E17-E19-E21)</f>
        <v>-0.98275862068965492</v>
      </c>
      <c r="F25" s="111">
        <f t="shared" si="30"/>
        <v>-0.16045197740112996</v>
      </c>
      <c r="G25" s="111">
        <f t="shared" si="30"/>
        <v>-1.0663329161451815E-2</v>
      </c>
      <c r="H25" s="111">
        <f t="shared" si="30"/>
        <v>-7.2967609080036633E-2</v>
      </c>
      <c r="I25" s="111">
        <f t="shared" ref="I25" si="31">I23/(I17-I19-I21)</f>
        <v>-0.1071025015179865</v>
      </c>
      <c r="J25" s="111">
        <f t="shared" ref="J25" si="32">J23/(J17-J19-J21)</f>
        <v>-0.20124817777462897</v>
      </c>
      <c r="K25" s="111">
        <f t="shared" ref="K25" si="33">K23/(K17-K19-K21)</f>
        <v>-1.6635389326353669</v>
      </c>
      <c r="L25" s="111">
        <f t="shared" ref="L25" si="34">L23/(L17-L19-L21)</f>
        <v>0.26548205820584153</v>
      </c>
    </row>
    <row r="26" spans="2:15" s="7" customFormat="1" x14ac:dyDescent="0.2">
      <c r="B26" s="10" t="s">
        <v>52</v>
      </c>
      <c r="C26" s="97">
        <v>-299.60000000000002</v>
      </c>
      <c r="D26" s="97">
        <v>-206.4</v>
      </c>
      <c r="E26" s="97">
        <v>-34.5</v>
      </c>
      <c r="F26" s="97">
        <v>-205.4</v>
      </c>
      <c r="G26" s="97">
        <v>-2018.8</v>
      </c>
      <c r="H26" s="98">
        <f>H27*H9</f>
        <v>-169.35579012126286</v>
      </c>
      <c r="I26" s="98">
        <f t="shared" ref="I26:L26" si="35">I27*I9</f>
        <v>-90.314286298889044</v>
      </c>
      <c r="J26" s="98">
        <f t="shared" si="35"/>
        <v>-55.802389939811299</v>
      </c>
      <c r="K26" s="98">
        <f t="shared" si="35"/>
        <v>-16.016288087598092</v>
      </c>
      <c r="L26" s="98">
        <f t="shared" si="35"/>
        <v>29.613299734630047</v>
      </c>
      <c r="N26" s="9"/>
      <c r="O26" s="9"/>
    </row>
    <row r="27" spans="2:15" s="7" customFormat="1" ht="17" outlineLevel="1" thickBot="1" x14ac:dyDescent="0.25">
      <c r="B27" s="6" t="s">
        <v>56</v>
      </c>
      <c r="C27" s="26">
        <f t="shared" ref="C27:L27" si="36">C26/C9</f>
        <v>-8.1401983426164934E-2</v>
      </c>
      <c r="D27" s="26">
        <f t="shared" si="36"/>
        <v>-5.3059125964010287E-2</v>
      </c>
      <c r="E27" s="26">
        <f t="shared" si="36"/>
        <v>-1.0545621274644659E-2</v>
      </c>
      <c r="F27" s="26">
        <f t="shared" si="36"/>
        <v>-5.6987487168104763E-2</v>
      </c>
      <c r="G27" s="26">
        <f t="shared" si="36"/>
        <v>-0.52371069835010897</v>
      </c>
      <c r="H27" s="26">
        <f>AVERAGE(C27:F27)</f>
        <v>-5.0498554458231162E-2</v>
      </c>
      <c r="I27" s="26">
        <f>H27+0.015</f>
        <v>-3.5498554458231163E-2</v>
      </c>
      <c r="J27" s="26">
        <f t="shared" ref="J27:L27" si="37">I27+0.015</f>
        <v>-2.0498554458231164E-2</v>
      </c>
      <c r="K27" s="26">
        <f t="shared" si="37"/>
        <v>-5.4985544582311641E-3</v>
      </c>
      <c r="L27" s="26">
        <f t="shared" si="37"/>
        <v>9.5014455417688354E-3</v>
      </c>
    </row>
    <row r="28" spans="2:15" s="7" customFormat="1" ht="17" thickTop="1" x14ac:dyDescent="0.2">
      <c r="B28" s="11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2:15" s="7" customFormat="1" x14ac:dyDescent="0.2">
      <c r="C29" s="36"/>
      <c r="D29" s="36"/>
      <c r="E29" s="36"/>
      <c r="F29" s="36"/>
      <c r="G29" s="36"/>
      <c r="H29" s="108" t="s">
        <v>5</v>
      </c>
      <c r="I29" s="108"/>
      <c r="J29" s="108"/>
      <c r="K29" s="108"/>
      <c r="L29" s="108"/>
    </row>
    <row r="30" spans="2:15" s="7" customFormat="1" ht="17" x14ac:dyDescent="0.2">
      <c r="B30" s="12" t="s">
        <v>22</v>
      </c>
      <c r="C30" s="25">
        <f t="shared" ref="C30" ca="1" si="38">D30-1</f>
        <v>2019</v>
      </c>
      <c r="D30" s="25">
        <f t="shared" ref="D30" ca="1" si="39">E30-1</f>
        <v>2020</v>
      </c>
      <c r="E30" s="25">
        <f t="shared" ref="E30" ca="1" si="40">F30-1</f>
        <v>2021</v>
      </c>
      <c r="F30" s="25">
        <f ca="1">G30-1</f>
        <v>2022</v>
      </c>
      <c r="G30" s="25">
        <f ca="1">YEAR(TODAY())-1</f>
        <v>2023</v>
      </c>
      <c r="H30" s="25">
        <f ca="1">G30+1</f>
        <v>2024</v>
      </c>
      <c r="I30" s="25">
        <f t="shared" ref="I30" ca="1" si="41">H30+1</f>
        <v>2025</v>
      </c>
      <c r="J30" s="25">
        <f t="shared" ref="J30" ca="1" si="42">I30+1</f>
        <v>2026</v>
      </c>
      <c r="K30" s="25">
        <f t="shared" ref="K30" ca="1" si="43">J30+1</f>
        <v>2027</v>
      </c>
      <c r="L30" s="25">
        <f t="shared" ref="L30" ca="1" si="44">K30+1</f>
        <v>2028</v>
      </c>
    </row>
    <row r="31" spans="2:15" s="7" customFormat="1" x14ac:dyDescent="0.2">
      <c r="B31" s="1" t="s">
        <v>11</v>
      </c>
      <c r="C31" s="22">
        <v>192.4</v>
      </c>
      <c r="D31" s="22">
        <v>266.2</v>
      </c>
      <c r="E31" s="22">
        <v>261.7</v>
      </c>
      <c r="F31" s="22">
        <v>270.39999999999998</v>
      </c>
      <c r="G31" s="22">
        <v>249.5</v>
      </c>
      <c r="H31" s="23">
        <f>H32*H9</f>
        <v>228.34996818139575</v>
      </c>
      <c r="I31" s="23">
        <f t="shared" ref="I31:L31" si="45">I32*I9</f>
        <v>173.2310103445071</v>
      </c>
      <c r="J31" s="23">
        <f t="shared" si="45"/>
        <v>185.35718106862262</v>
      </c>
      <c r="K31" s="23">
        <f t="shared" si="45"/>
        <v>198.33218374342624</v>
      </c>
      <c r="L31" s="23">
        <f t="shared" si="45"/>
        <v>212.2154366054661</v>
      </c>
    </row>
    <row r="32" spans="2:15" s="7" customFormat="1" outlineLevel="1" x14ac:dyDescent="0.2">
      <c r="B32" s="13" t="s">
        <v>25</v>
      </c>
      <c r="C32" s="24">
        <f t="shared" ref="C32" si="46">C31/C$9</f>
        <v>5.2275506045374273E-2</v>
      </c>
      <c r="D32" s="24">
        <f t="shared" ref="D32" si="47">D31/D$9</f>
        <v>6.8431876606683803E-2</v>
      </c>
      <c r="E32" s="24">
        <f t="shared" ref="E32" si="48">E31/E$9</f>
        <v>7.9993886596362515E-2</v>
      </c>
      <c r="F32" s="24">
        <f t="shared" ref="F32" si="49">F31/F$9</f>
        <v>7.502150209472018E-2</v>
      </c>
      <c r="G32" s="24">
        <f>G31/G$9</f>
        <v>6.472449932551623E-2</v>
      </c>
      <c r="H32" s="24">
        <f>AVERAGE($C$32:$G$32)</f>
        <v>6.8089454133731395E-2</v>
      </c>
      <c r="I32" s="24">
        <f t="shared" ref="I32:L32" si="50">AVERAGE($C$32:$G$32)</f>
        <v>6.8089454133731395E-2</v>
      </c>
      <c r="J32" s="24">
        <f t="shared" si="50"/>
        <v>6.8089454133731395E-2</v>
      </c>
      <c r="K32" s="24">
        <f t="shared" si="50"/>
        <v>6.8089454133731395E-2</v>
      </c>
      <c r="L32" s="24">
        <f t="shared" si="50"/>
        <v>6.8089454133731395E-2</v>
      </c>
    </row>
    <row r="33" spans="2:12" s="7" customFormat="1" x14ac:dyDescent="0.2">
      <c r="B33" s="1" t="s">
        <v>12</v>
      </c>
      <c r="C33" s="22">
        <v>43.8</v>
      </c>
      <c r="D33" s="22">
        <v>31.1</v>
      </c>
      <c r="E33" s="22">
        <v>35</v>
      </c>
      <c r="F33" s="22">
        <v>194.5</v>
      </c>
      <c r="G33" s="22">
        <v>49</v>
      </c>
      <c r="H33" s="23">
        <f>H34*H9</f>
        <v>48.473106130584689</v>
      </c>
      <c r="I33" s="23">
        <f t="shared" ref="I33:L33" si="51">I34*I9</f>
        <v>36.772701202512515</v>
      </c>
      <c r="J33" s="23">
        <f t="shared" si="51"/>
        <v>39.346790286688396</v>
      </c>
      <c r="K33" s="23">
        <f t="shared" si="51"/>
        <v>42.101065606756592</v>
      </c>
      <c r="L33" s="23">
        <f t="shared" si="51"/>
        <v>45.048140199229557</v>
      </c>
    </row>
    <row r="34" spans="2:12" s="7" customFormat="1" outlineLevel="1" x14ac:dyDescent="0.2">
      <c r="B34" s="13" t="s">
        <v>25</v>
      </c>
      <c r="C34" s="24">
        <f>C33/C$9</f>
        <v>1.1900556989539464E-2</v>
      </c>
      <c r="D34" s="24">
        <f t="shared" ref="D34" si="52">D33/D$9</f>
        <v>7.9948586118251935E-3</v>
      </c>
      <c r="E34" s="24">
        <f t="shared" ref="E34" si="53">E33/E$9</f>
        <v>1.0698456365581538E-2</v>
      </c>
      <c r="F34" s="24">
        <f t="shared" ref="F34" si="54">F33/F$9</f>
        <v>5.3963321588103096E-2</v>
      </c>
      <c r="G34" s="24">
        <f>G33/G$9</f>
        <v>1.2711424717235653E-2</v>
      </c>
      <c r="H34" s="24">
        <f>AVERAGE($C$34:$G$34)-0.005</f>
        <v>1.4453723654456987E-2</v>
      </c>
      <c r="I34" s="24">
        <f t="shared" ref="I34:L34" si="55">AVERAGE($C$34:$G$34)-0.005</f>
        <v>1.4453723654456987E-2</v>
      </c>
      <c r="J34" s="24">
        <f t="shared" si="55"/>
        <v>1.4453723654456987E-2</v>
      </c>
      <c r="K34" s="24">
        <f t="shared" si="55"/>
        <v>1.4453723654456987E-2</v>
      </c>
      <c r="L34" s="24">
        <f t="shared" si="55"/>
        <v>1.4453723654456987E-2</v>
      </c>
    </row>
    <row r="35" spans="2:12" s="7" customFormat="1" x14ac:dyDescent="0.2">
      <c r="B35" s="13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2:12" s="7" customFormat="1" x14ac:dyDescent="0.2">
      <c r="B36" s="13"/>
      <c r="C36" s="24"/>
      <c r="D36" s="24"/>
      <c r="E36" s="24"/>
      <c r="F36" s="24"/>
      <c r="G36" s="24"/>
      <c r="H36" s="108" t="s">
        <v>5</v>
      </c>
      <c r="I36" s="108"/>
      <c r="J36" s="108"/>
      <c r="K36" s="108"/>
      <c r="L36" s="108"/>
    </row>
    <row r="37" spans="2:12" s="7" customFormat="1" ht="17" x14ac:dyDescent="0.2">
      <c r="B37" s="12" t="s">
        <v>18</v>
      </c>
      <c r="C37" s="25">
        <f t="shared" ref="C37" ca="1" si="56">D37-1</f>
        <v>2019</v>
      </c>
      <c r="D37" s="25">
        <f t="shared" ref="D37" ca="1" si="57">E37-1</f>
        <v>2020</v>
      </c>
      <c r="E37" s="25">
        <f t="shared" ref="E37" ca="1" si="58">F37-1</f>
        <v>2021</v>
      </c>
      <c r="F37" s="25">
        <f ca="1">G37-1</f>
        <v>2022</v>
      </c>
      <c r="G37" s="25">
        <f ca="1">YEAR(TODAY())-1</f>
        <v>2023</v>
      </c>
      <c r="H37" s="25">
        <f ca="1">G37+1</f>
        <v>2024</v>
      </c>
      <c r="I37" s="25">
        <f t="shared" ref="I37" ca="1" si="59">H37+1</f>
        <v>2025</v>
      </c>
      <c r="J37" s="25">
        <f t="shared" ref="J37" ca="1" si="60">I37+1</f>
        <v>2026</v>
      </c>
      <c r="K37" s="25">
        <f t="shared" ref="K37" ca="1" si="61">J37+1</f>
        <v>2027</v>
      </c>
      <c r="L37" s="25">
        <f t="shared" ref="L37" ca="1" si="62">K37+1</f>
        <v>2028</v>
      </c>
    </row>
    <row r="38" spans="2:12" s="7" customFormat="1" x14ac:dyDescent="0.2">
      <c r="B38" s="1" t="s">
        <v>10</v>
      </c>
      <c r="C38" s="22">
        <v>1394.4</v>
      </c>
      <c r="D38" s="22">
        <v>1308.0999999999999</v>
      </c>
      <c r="E38" s="22">
        <v>1186.7</v>
      </c>
      <c r="F38" s="22">
        <v>1058.0999999999999</v>
      </c>
      <c r="G38" s="22">
        <v>1118.4000000000001</v>
      </c>
      <c r="H38" s="23">
        <f>H39*H9</f>
        <v>1114.4739344772377</v>
      </c>
      <c r="I38" s="23">
        <f t="shared" ref="I38:L38" si="63">I39*I9</f>
        <v>845.46298477583548</v>
      </c>
      <c r="J38" s="23">
        <f t="shared" si="63"/>
        <v>904.64539371014405</v>
      </c>
      <c r="K38" s="23">
        <f t="shared" si="63"/>
        <v>967.97057126985419</v>
      </c>
      <c r="L38" s="23">
        <f t="shared" si="63"/>
        <v>1035.728511258744</v>
      </c>
    </row>
    <row r="39" spans="2:12" s="7" customFormat="1" outlineLevel="1" x14ac:dyDescent="0.2">
      <c r="B39" s="13" t="s">
        <v>25</v>
      </c>
      <c r="C39" s="24">
        <f t="shared" ref="C39:L39" si="64">C38/C$9</f>
        <v>0.37886156772177698</v>
      </c>
      <c r="D39" s="24">
        <f t="shared" si="64"/>
        <v>0.33627249357326477</v>
      </c>
      <c r="E39" s="24">
        <f t="shared" si="64"/>
        <v>0.36273880482958887</v>
      </c>
      <c r="F39" s="24">
        <f t="shared" si="64"/>
        <v>0.29356601836695057</v>
      </c>
      <c r="G39" s="24">
        <f t="shared" si="64"/>
        <v>0.29013178375012971</v>
      </c>
      <c r="H39" s="24">
        <f>AVERAGE($C$39:$G$39)</f>
        <v>0.33231413364834222</v>
      </c>
      <c r="I39" s="24">
        <f t="shared" ref="I39:L39" si="65">AVERAGE($C$39:$G$39)</f>
        <v>0.33231413364834222</v>
      </c>
      <c r="J39" s="24">
        <f t="shared" si="65"/>
        <v>0.33231413364834222</v>
      </c>
      <c r="K39" s="24">
        <f t="shared" si="65"/>
        <v>0.33231413364834222</v>
      </c>
      <c r="L39" s="24">
        <f t="shared" si="65"/>
        <v>0.33231413364834222</v>
      </c>
    </row>
    <row r="40" spans="2:12" s="7" customFormat="1" x14ac:dyDescent="0.2">
      <c r="B40" s="1" t="s">
        <v>9</v>
      </c>
      <c r="C40" s="22">
        <v>184.3</v>
      </c>
      <c r="D40" s="22">
        <v>318.2</v>
      </c>
      <c r="E40" s="22">
        <v>528.70000000000005</v>
      </c>
      <c r="F40" s="22">
        <v>371.2</v>
      </c>
      <c r="G40" s="22">
        <v>272.10000000000002</v>
      </c>
      <c r="H40" s="23">
        <f>H41*H9</f>
        <v>313.27186971068238</v>
      </c>
      <c r="I40" s="23">
        <f t="shared" ref="I40:L40" si="66">I41*I9</f>
        <v>237.65452184948316</v>
      </c>
      <c r="J40" s="23">
        <f t="shared" si="66"/>
        <v>254.29033837894701</v>
      </c>
      <c r="K40" s="23">
        <f t="shared" si="66"/>
        <v>272.09066206547334</v>
      </c>
      <c r="L40" s="23">
        <f t="shared" si="66"/>
        <v>291.13700841005647</v>
      </c>
    </row>
    <row r="41" spans="2:12" s="7" customFormat="1" outlineLevel="1" x14ac:dyDescent="0.2">
      <c r="B41" s="13" t="s">
        <v>25</v>
      </c>
      <c r="C41" s="24">
        <f>C40/C$9</f>
        <v>5.0074718108952594E-2</v>
      </c>
      <c r="D41" s="24">
        <f t="shared" ref="D41" si="67">D40/D$9</f>
        <v>8.1799485861182519E-2</v>
      </c>
      <c r="E41" s="24">
        <f t="shared" ref="E41" si="68">E40/E$9</f>
        <v>0.16160782515665598</v>
      </c>
      <c r="F41" s="24">
        <f t="shared" ref="F41" si="69">F40/F$9</f>
        <v>0.10298809755014843</v>
      </c>
      <c r="G41" s="24">
        <f t="shared" ref="G41" si="70">G40/G$9</f>
        <v>7.0587319705302479E-2</v>
      </c>
      <c r="H41" s="24">
        <f>AVERAGE($C$41:$G$41)</f>
        <v>9.3411489276448406E-2</v>
      </c>
      <c r="I41" s="24">
        <f t="shared" ref="I41:L41" si="71">AVERAGE($C$41:$G$41)</f>
        <v>9.3411489276448406E-2</v>
      </c>
      <c r="J41" s="24">
        <f t="shared" si="71"/>
        <v>9.3411489276448406E-2</v>
      </c>
      <c r="K41" s="24">
        <f t="shared" si="71"/>
        <v>9.3411489276448406E-2</v>
      </c>
      <c r="L41" s="24">
        <f t="shared" si="71"/>
        <v>9.3411489276448406E-2</v>
      </c>
    </row>
    <row r="42" spans="2:12" s="7" customFormat="1" x14ac:dyDescent="0.2">
      <c r="B42" s="1" t="s">
        <v>31</v>
      </c>
      <c r="C42" s="22">
        <v>531.20000000000005</v>
      </c>
      <c r="D42" s="22">
        <v>490.7</v>
      </c>
      <c r="E42" s="22">
        <v>501.4</v>
      </c>
      <c r="F42" s="22">
        <v>352.1</v>
      </c>
      <c r="G42" s="22">
        <v>368.1</v>
      </c>
      <c r="H42" s="23">
        <f>H43*H9</f>
        <v>413.78688187446153</v>
      </c>
      <c r="I42" s="23">
        <f t="shared" ref="I42:L42" si="72">I43*I9</f>
        <v>313.90728969786733</v>
      </c>
      <c r="J42" s="23">
        <f t="shared" si="72"/>
        <v>335.88079997671809</v>
      </c>
      <c r="K42" s="23">
        <f t="shared" si="72"/>
        <v>359.39245597508841</v>
      </c>
      <c r="L42" s="23">
        <f t="shared" si="72"/>
        <v>384.54992789334466</v>
      </c>
    </row>
    <row r="43" spans="2:12" s="7" customFormat="1" outlineLevel="1" x14ac:dyDescent="0.2">
      <c r="B43" s="13" t="s">
        <v>25</v>
      </c>
      <c r="C43" s="24">
        <f>C42/C$9</f>
        <v>0.14432821627496265</v>
      </c>
      <c r="D43" s="24">
        <f>D42/D$9</f>
        <v>0.1261439588688946</v>
      </c>
      <c r="E43" s="24">
        <f t="shared" ref="E43" si="73">E42/E$9</f>
        <v>0.15326302919150236</v>
      </c>
      <c r="F43" s="24">
        <f t="shared" ref="F43" si="74">F42/F$9</f>
        <v>9.7688871625558366E-2</v>
      </c>
      <c r="G43" s="24">
        <f t="shared" ref="G43" si="75">G42/G$9</f>
        <v>9.5491335477845801E-2</v>
      </c>
      <c r="H43" s="24">
        <f>AVERAGE($C$43:$G$43)</f>
        <v>0.12338308228775277</v>
      </c>
      <c r="I43" s="24">
        <f t="shared" ref="I43:L43" si="76">AVERAGE($C$43:$G$43)</f>
        <v>0.12338308228775277</v>
      </c>
      <c r="J43" s="24">
        <f t="shared" si="76"/>
        <v>0.12338308228775277</v>
      </c>
      <c r="K43" s="24">
        <f t="shared" si="76"/>
        <v>0.12338308228775277</v>
      </c>
      <c r="L43" s="24">
        <f t="shared" si="76"/>
        <v>0.12338308228775277</v>
      </c>
    </row>
    <row r="44" spans="2:12" s="7" customFormat="1" x14ac:dyDescent="0.2">
      <c r="B44" s="1" t="s">
        <v>32</v>
      </c>
      <c r="C44" s="22">
        <v>0</v>
      </c>
      <c r="D44" s="22">
        <v>0</v>
      </c>
      <c r="E44" s="22">
        <v>0</v>
      </c>
      <c r="F44" s="22">
        <v>189.5</v>
      </c>
      <c r="G44" s="22">
        <v>225.9</v>
      </c>
      <c r="H44" s="23">
        <f>H45*H9</f>
        <v>186.42808505118884</v>
      </c>
      <c r="I44" s="23">
        <f t="shared" ref="I44:L44" si="77">I45*I9</f>
        <v>141.42820245262601</v>
      </c>
      <c r="J44" s="23">
        <f t="shared" si="77"/>
        <v>151.32817662430983</v>
      </c>
      <c r="K44" s="23">
        <f t="shared" si="77"/>
        <v>161.92114898801154</v>
      </c>
      <c r="L44" s="23">
        <f t="shared" si="77"/>
        <v>173.25562941717237</v>
      </c>
    </row>
    <row r="45" spans="2:12" s="7" customFormat="1" outlineLevel="1" x14ac:dyDescent="0.2">
      <c r="B45" s="13" t="s">
        <v>25</v>
      </c>
      <c r="C45" s="24">
        <f>C44/C$9</f>
        <v>0</v>
      </c>
      <c r="D45" s="24">
        <f>D44/D$9</f>
        <v>0</v>
      </c>
      <c r="E45" s="24">
        <f t="shared" ref="E45" si="78">E44/E$9</f>
        <v>0</v>
      </c>
      <c r="F45" s="24">
        <f t="shared" ref="F45" si="79">F44/F$9</f>
        <v>5.2576089670671143E-2</v>
      </c>
      <c r="G45" s="24">
        <f t="shared" ref="G45" si="80">G44/G$9</f>
        <v>5.8602262114766004E-2</v>
      </c>
      <c r="H45" s="24">
        <f>AVERAGE($F$45:$G$45)</f>
        <v>5.558917589271857E-2</v>
      </c>
      <c r="I45" s="24">
        <f t="shared" ref="I45:L45" si="81">AVERAGE($F$45:$G$45)</f>
        <v>5.558917589271857E-2</v>
      </c>
      <c r="J45" s="24">
        <f t="shared" si="81"/>
        <v>5.558917589271857E-2</v>
      </c>
      <c r="K45" s="24">
        <f t="shared" si="81"/>
        <v>5.558917589271857E-2</v>
      </c>
      <c r="L45" s="24">
        <f t="shared" si="81"/>
        <v>5.558917589271857E-2</v>
      </c>
    </row>
    <row r="46" spans="2:12" s="7" customFormat="1" x14ac:dyDescent="0.2">
      <c r="B46" s="1" t="s">
        <v>33</v>
      </c>
      <c r="C46" s="22">
        <v>555</v>
      </c>
      <c r="D46" s="22">
        <v>742.1</v>
      </c>
      <c r="E46" s="22">
        <v>726</v>
      </c>
      <c r="F46" s="22">
        <v>670.9</v>
      </c>
      <c r="G46" s="22">
        <v>733.5</v>
      </c>
      <c r="H46" s="23">
        <f>H47*H9</f>
        <v>630.42637106568066</v>
      </c>
      <c r="I46" s="23">
        <f t="shared" ref="I46:L46" si="82">I47*I9</f>
        <v>478.25448839465423</v>
      </c>
      <c r="J46" s="23">
        <f t="shared" si="82"/>
        <v>511.73230258228006</v>
      </c>
      <c r="K46" s="23">
        <f t="shared" si="82"/>
        <v>547.55356376303973</v>
      </c>
      <c r="L46" s="23">
        <f t="shared" si="82"/>
        <v>585.88231322645254</v>
      </c>
    </row>
    <row r="47" spans="2:12" s="7" customFormat="1" outlineLevel="1" x14ac:dyDescent="0.2">
      <c r="B47" s="13" t="s">
        <v>25</v>
      </c>
      <c r="C47" s="24">
        <f>C46/C$9</f>
        <v>0.15079472897704116</v>
      </c>
      <c r="D47" s="24">
        <f t="shared" ref="D47" si="83">D46/D$9</f>
        <v>0.1907712082262211</v>
      </c>
      <c r="E47" s="24">
        <f t="shared" ref="E47" si="84">E46/E$9</f>
        <v>0.22191655204034846</v>
      </c>
      <c r="F47" s="24">
        <f t="shared" ref="F47" si="85">F46/F$9</f>
        <v>0.18613877868101988</v>
      </c>
      <c r="G47" s="24">
        <f t="shared" ref="G47" si="86">G46/G$9</f>
        <v>0.1902822455120888</v>
      </c>
      <c r="H47" s="24">
        <f>AVERAGE($C$47:$G$47)</f>
        <v>0.18798070268734388</v>
      </c>
      <c r="I47" s="24">
        <f t="shared" ref="I47:L47" si="87">AVERAGE($C$47:$G$47)</f>
        <v>0.18798070268734388</v>
      </c>
      <c r="J47" s="24">
        <f t="shared" si="87"/>
        <v>0.18798070268734388</v>
      </c>
      <c r="K47" s="24">
        <f t="shared" si="87"/>
        <v>0.18798070268734388</v>
      </c>
      <c r="L47" s="24">
        <f t="shared" si="87"/>
        <v>0.18798070268734388</v>
      </c>
    </row>
    <row r="48" spans="2:12" s="7" customFormat="1" x14ac:dyDescent="0.2">
      <c r="B48" s="1" t="s">
        <v>28</v>
      </c>
      <c r="C48" s="21">
        <f>(C38-C40)-(C42+C44+C46)</f>
        <v>123.90000000000009</v>
      </c>
      <c r="D48" s="21">
        <f t="shared" ref="D48:L48" si="88">(D38-D40)-(D42+D44+D46)</f>
        <v>-242.90000000000009</v>
      </c>
      <c r="E48" s="21">
        <f t="shared" si="88"/>
        <v>-569.40000000000009</v>
      </c>
      <c r="F48" s="21">
        <f t="shared" si="88"/>
        <v>-525.60000000000014</v>
      </c>
      <c r="G48" s="21">
        <f t="shared" si="88"/>
        <v>-481.19999999999993</v>
      </c>
      <c r="H48" s="21">
        <f>(H38-H40)-(H42+H44+H46)</f>
        <v>-429.43927322477577</v>
      </c>
      <c r="I48" s="21">
        <f t="shared" si="88"/>
        <v>-325.78151761879519</v>
      </c>
      <c r="J48" s="21">
        <f t="shared" si="88"/>
        <v>-348.58622385211095</v>
      </c>
      <c r="K48" s="21">
        <f t="shared" si="88"/>
        <v>-372.9872595217588</v>
      </c>
      <c r="L48" s="21">
        <f t="shared" si="88"/>
        <v>-399.09636768828204</v>
      </c>
    </row>
    <row r="49" spans="2:12" s="7" customFormat="1" outlineLevel="1" x14ac:dyDescent="0.2">
      <c r="B49" s="13" t="s">
        <v>25</v>
      </c>
      <c r="C49" s="24">
        <f>C48/C$9</f>
        <v>3.3663904360820562E-2</v>
      </c>
      <c r="D49" s="24">
        <f t="shared" ref="D49" si="89">D48/D$9</f>
        <v>-6.2442159383033442E-2</v>
      </c>
      <c r="E49" s="24">
        <f t="shared" ref="E49" si="90">E48/E$9</f>
        <v>-0.17404860155891796</v>
      </c>
      <c r="F49" s="24">
        <f t="shared" ref="F49" si="91">F48/F$9</f>
        <v>-0.14582581916044726</v>
      </c>
      <c r="G49" s="24">
        <f t="shared" ref="G49" si="92">G48/G$9</f>
        <v>-0.12483137905987338</v>
      </c>
      <c r="H49" s="24">
        <f t="shared" ref="H49" si="93">H48/H$9</f>
        <v>-0.12805031649592141</v>
      </c>
      <c r="I49" s="24">
        <f t="shared" ref="I49" si="94">I48/I$9</f>
        <v>-0.12805031649592136</v>
      </c>
      <c r="J49" s="24">
        <f t="shared" ref="J49" si="95">J48/J$9</f>
        <v>-0.12805031649592138</v>
      </c>
      <c r="K49" s="24">
        <f t="shared" ref="K49" si="96">K48/K$9</f>
        <v>-0.12805031649592138</v>
      </c>
      <c r="L49" s="24">
        <f t="shared" ref="L49" si="97">L48/L$9</f>
        <v>-0.12805031649592141</v>
      </c>
    </row>
    <row r="50" spans="2:12" s="7" customFormat="1" x14ac:dyDescent="0.2">
      <c r="B50" s="1" t="s">
        <v>29</v>
      </c>
      <c r="C50" s="21"/>
      <c r="D50" s="21">
        <f>D48-C48</f>
        <v>-366.80000000000018</v>
      </c>
      <c r="E50" s="21">
        <f t="shared" ref="E50:L50" si="98">E48-D48</f>
        <v>-326.5</v>
      </c>
      <c r="F50" s="21">
        <f t="shared" si="98"/>
        <v>43.799999999999955</v>
      </c>
      <c r="G50" s="21">
        <f>G48-F48</f>
        <v>44.400000000000205</v>
      </c>
      <c r="H50" s="21">
        <f>H48-G48</f>
        <v>51.760726775224157</v>
      </c>
      <c r="I50" s="21">
        <f t="shared" si="98"/>
        <v>103.65775560598058</v>
      </c>
      <c r="J50" s="21">
        <f t="shared" si="98"/>
        <v>-22.804706233315756</v>
      </c>
      <c r="K50" s="21">
        <f t="shared" si="98"/>
        <v>-24.401035669647854</v>
      </c>
      <c r="L50" s="21">
        <f t="shared" si="98"/>
        <v>-26.109108166523242</v>
      </c>
    </row>
    <row r="51" spans="2:12" s="7" customFormat="1" x14ac:dyDescent="0.2">
      <c r="B51" s="1" t="s">
        <v>69</v>
      </c>
      <c r="C51" s="22">
        <v>3560.1</v>
      </c>
      <c r="D51" s="22">
        <v>3237.1000000000004</v>
      </c>
      <c r="E51" s="22">
        <v>3413.7999999999997</v>
      </c>
      <c r="F51" s="22">
        <v>4044.8</v>
      </c>
      <c r="G51" s="22">
        <v>4249.8</v>
      </c>
      <c r="H51" s="23">
        <f>H9*1.05</f>
        <v>3521.3598000000002</v>
      </c>
      <c r="I51" s="23">
        <f t="shared" ref="I51:L51" si="99">I9*1.05</f>
        <v>2671.3763999999996</v>
      </c>
      <c r="J51" s="23">
        <f t="shared" si="99"/>
        <v>2858.3727480000002</v>
      </c>
      <c r="K51" s="23">
        <f t="shared" si="99"/>
        <v>3058.4588403600005</v>
      </c>
      <c r="L51" s="23">
        <f t="shared" si="99"/>
        <v>3272.5509591852006</v>
      </c>
    </row>
    <row r="52" spans="2:12" s="7" customFormat="1" outlineLevel="1" x14ac:dyDescent="0.2">
      <c r="B52" s="13" t="s">
        <v>7</v>
      </c>
      <c r="C52" s="24">
        <f>C51/C9</f>
        <v>0.96728705338948506</v>
      </c>
      <c r="D52" s="24">
        <f t="shared" ref="D52:L52" si="100">D51/D9</f>
        <v>0.83215938303341908</v>
      </c>
      <c r="E52" s="24">
        <f t="shared" si="100"/>
        <v>1.0434968668806357</v>
      </c>
      <c r="F52" s="24">
        <f t="shared" si="100"/>
        <v>1.1222151319257554</v>
      </c>
      <c r="G52" s="24">
        <f t="shared" si="100"/>
        <v>1.1024696482307772</v>
      </c>
      <c r="H52" s="24">
        <v>1</v>
      </c>
      <c r="I52" s="24">
        <v>0.95</v>
      </c>
      <c r="J52" s="24">
        <v>0.9</v>
      </c>
      <c r="K52" s="24">
        <v>0.85</v>
      </c>
      <c r="L52" s="24">
        <v>0.8</v>
      </c>
    </row>
    <row r="53" spans="2:12" s="7" customFormat="1" x14ac:dyDescent="0.2">
      <c r="B53" s="1" t="s">
        <v>58</v>
      </c>
      <c r="C53" s="21"/>
      <c r="D53" s="21">
        <f>(D51-D40)-(C51-C40)</f>
        <v>-456.89999999999918</v>
      </c>
      <c r="E53" s="21">
        <f t="shared" ref="E53:L53" si="101">(E51-E40)-(D51-D40)</f>
        <v>-33.800000000001091</v>
      </c>
      <c r="F53" s="21">
        <f t="shared" si="101"/>
        <v>788.50000000000091</v>
      </c>
      <c r="G53" s="21">
        <f t="shared" si="101"/>
        <v>304.09999999999991</v>
      </c>
      <c r="H53" s="21">
        <f t="shared" si="101"/>
        <v>-769.61206971068259</v>
      </c>
      <c r="I53" s="21">
        <f t="shared" si="101"/>
        <v>-774.36605213880102</v>
      </c>
      <c r="J53" s="21">
        <f t="shared" si="101"/>
        <v>170.36053147053644</v>
      </c>
      <c r="K53" s="21">
        <f t="shared" si="101"/>
        <v>182.28576867347419</v>
      </c>
      <c r="L53" s="21">
        <f t="shared" si="101"/>
        <v>195.04577248061696</v>
      </c>
    </row>
    <row r="54" spans="2:12" s="7" customFormat="1" x14ac:dyDescent="0.2">
      <c r="B54" s="1"/>
      <c r="C54" s="21"/>
      <c r="D54" s="21"/>
      <c r="E54" s="21"/>
      <c r="F54" s="21"/>
      <c r="G54" s="21"/>
      <c r="H54" s="21"/>
      <c r="I54" s="21"/>
      <c r="J54" s="21"/>
      <c r="K54" s="21"/>
      <c r="L54" s="21"/>
    </row>
    <row r="55" spans="2:12" s="7" customFormat="1" x14ac:dyDescent="0.2">
      <c r="B55" s="1"/>
      <c r="C55" s="21"/>
      <c r="D55" s="21"/>
      <c r="E55" s="21"/>
      <c r="F55" s="21"/>
      <c r="G55" s="21"/>
      <c r="H55" s="108" t="s">
        <v>5</v>
      </c>
      <c r="I55" s="108"/>
      <c r="J55" s="108"/>
      <c r="K55" s="108"/>
      <c r="L55" s="108"/>
    </row>
    <row r="56" spans="2:12" s="7" customFormat="1" ht="17" x14ac:dyDescent="0.2">
      <c r="B56" s="12" t="s">
        <v>60</v>
      </c>
      <c r="C56" s="25">
        <f t="shared" ref="C56" ca="1" si="102">D56-1</f>
        <v>2019</v>
      </c>
      <c r="D56" s="25">
        <f t="shared" ref="D56" ca="1" si="103">E56-1</f>
        <v>2020</v>
      </c>
      <c r="E56" s="25">
        <f t="shared" ref="E56" ca="1" si="104">F56-1</f>
        <v>2021</v>
      </c>
      <c r="F56" s="25">
        <f ca="1">G56-1</f>
        <v>2022</v>
      </c>
      <c r="G56" s="25">
        <f ca="1">YEAR(TODAY())-1</f>
        <v>2023</v>
      </c>
      <c r="H56" s="25">
        <f ca="1">G56+1</f>
        <v>2024</v>
      </c>
      <c r="I56" s="25">
        <f t="shared" ref="I56" ca="1" si="105">H56+1</f>
        <v>2025</v>
      </c>
      <c r="J56" s="25">
        <f t="shared" ref="J56" ca="1" si="106">I56+1</f>
        <v>2026</v>
      </c>
      <c r="K56" s="25">
        <f t="shared" ref="K56" ca="1" si="107">J56+1</f>
        <v>2027</v>
      </c>
      <c r="L56" s="25">
        <f t="shared" ref="L56" ca="1" si="108">K56+1</f>
        <v>2028</v>
      </c>
    </row>
    <row r="57" spans="2:12" s="7" customFormat="1" x14ac:dyDescent="0.2">
      <c r="B57" s="1" t="s">
        <v>16</v>
      </c>
      <c r="C57" s="33">
        <v>0.21</v>
      </c>
      <c r="D57" s="33">
        <v>0.21</v>
      </c>
      <c r="E57" s="33">
        <v>0.21</v>
      </c>
      <c r="F57" s="33">
        <v>0.21</v>
      </c>
      <c r="G57" s="33">
        <v>0.21</v>
      </c>
      <c r="H57" s="34">
        <v>0.21</v>
      </c>
      <c r="I57" s="34">
        <v>0.21</v>
      </c>
      <c r="J57" s="34">
        <v>0.21</v>
      </c>
      <c r="K57" s="34">
        <v>0.21</v>
      </c>
      <c r="L57" s="34">
        <v>0.21</v>
      </c>
    </row>
    <row r="58" spans="2:12" s="7" customFormat="1" x14ac:dyDescent="0.2">
      <c r="B58" s="1" t="s">
        <v>2</v>
      </c>
      <c r="C58" s="35">
        <v>0</v>
      </c>
      <c r="D58" s="35">
        <v>0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</row>
    <row r="59" spans="2:12" s="7" customFormat="1" hidden="1" outlineLevel="1" x14ac:dyDescent="0.2">
      <c r="B59" s="6" t="s">
        <v>54</v>
      </c>
      <c r="C59" s="24"/>
      <c r="D59" s="24" t="e">
        <f>(D58-C58)/C58</f>
        <v>#DIV/0!</v>
      </c>
      <c r="E59" s="24" t="e">
        <f t="shared" ref="E59:L59" si="109">(E58-D58)/D58</f>
        <v>#DIV/0!</v>
      </c>
      <c r="F59" s="24" t="e">
        <f t="shared" si="109"/>
        <v>#DIV/0!</v>
      </c>
      <c r="G59" s="24" t="e">
        <f t="shared" si="109"/>
        <v>#DIV/0!</v>
      </c>
      <c r="H59" s="24" t="e">
        <f t="shared" si="109"/>
        <v>#DIV/0!</v>
      </c>
      <c r="I59" s="24" t="e">
        <f t="shared" si="109"/>
        <v>#DIV/0!</v>
      </c>
      <c r="J59" s="24" t="e">
        <f t="shared" si="109"/>
        <v>#DIV/0!</v>
      </c>
      <c r="K59" s="24" t="e">
        <f t="shared" si="109"/>
        <v>#DIV/0!</v>
      </c>
      <c r="L59" s="24" t="e">
        <f t="shared" si="109"/>
        <v>#DIV/0!</v>
      </c>
    </row>
    <row r="60" spans="2:12" s="7" customFormat="1" collapsed="1" x14ac:dyDescent="0.2">
      <c r="B60" s="6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2:12" s="7" customFormat="1" x14ac:dyDescent="0.2">
      <c r="C61" s="36"/>
      <c r="D61" s="36"/>
      <c r="E61" s="36"/>
      <c r="F61" s="36"/>
      <c r="G61" s="36"/>
      <c r="H61" s="108" t="s">
        <v>5</v>
      </c>
      <c r="I61" s="108"/>
      <c r="J61" s="108"/>
      <c r="K61" s="108"/>
      <c r="L61" s="108"/>
    </row>
    <row r="62" spans="2:12" s="7" customFormat="1" x14ac:dyDescent="0.2">
      <c r="B62" s="4" t="s">
        <v>14</v>
      </c>
      <c r="C62" s="25"/>
      <c r="D62" s="25">
        <f t="shared" ref="D62" ca="1" si="110">E62-1</f>
        <v>2020</v>
      </c>
      <c r="E62" s="25">
        <f t="shared" ref="E62" ca="1" si="111">F62-1</f>
        <v>2021</v>
      </c>
      <c r="F62" s="25">
        <f ca="1">G62-1</f>
        <v>2022</v>
      </c>
      <c r="G62" s="25">
        <f ca="1">YEAR(TODAY())-1</f>
        <v>2023</v>
      </c>
      <c r="H62" s="25">
        <f ca="1">G62+1</f>
        <v>2024</v>
      </c>
      <c r="I62" s="25">
        <f t="shared" ref="I62" ca="1" si="112">H62+1</f>
        <v>2025</v>
      </c>
      <c r="J62" s="25">
        <f t="shared" ref="J62" ca="1" si="113">I62+1</f>
        <v>2026</v>
      </c>
      <c r="K62" s="25">
        <f t="shared" ref="K62" ca="1" si="114">J62+1</f>
        <v>2027</v>
      </c>
      <c r="L62" s="25">
        <f t="shared" ref="L62" ca="1" si="115">K62+1</f>
        <v>2028</v>
      </c>
    </row>
    <row r="63" spans="2:12" s="7" customFormat="1" x14ac:dyDescent="0.2">
      <c r="B63" s="1" t="s">
        <v>59</v>
      </c>
      <c r="C63" s="31"/>
      <c r="D63" s="31">
        <f t="shared" ref="D63:L63" si="116">D17*(1-D57)</f>
        <v>156.18300000000022</v>
      </c>
      <c r="E63" s="31">
        <f t="shared" si="116"/>
        <v>172.77300000000005</v>
      </c>
      <c r="F63" s="31">
        <f t="shared" si="116"/>
        <v>80.027000000000143</v>
      </c>
      <c r="G63" s="31">
        <f t="shared" si="116"/>
        <v>22.436000000000075</v>
      </c>
      <c r="H63" s="31">
        <f t="shared" si="116"/>
        <v>233.76161879666998</v>
      </c>
      <c r="I63" s="31">
        <f t="shared" si="116"/>
        <v>177.33640046643922</v>
      </c>
      <c r="J63" s="31">
        <f t="shared" si="116"/>
        <v>189.74994849909001</v>
      </c>
      <c r="K63" s="31">
        <f t="shared" si="116"/>
        <v>203.03244489402627</v>
      </c>
      <c r="L63" s="31">
        <f t="shared" si="116"/>
        <v>217.24471603660817</v>
      </c>
    </row>
    <row r="64" spans="2:12" s="7" customFormat="1" x14ac:dyDescent="0.2">
      <c r="B64" s="1" t="s">
        <v>64</v>
      </c>
      <c r="C64" s="31"/>
      <c r="D64" s="31">
        <f>D31</f>
        <v>266.2</v>
      </c>
      <c r="E64" s="31">
        <f t="shared" ref="E64:L64" si="117">E31</f>
        <v>261.7</v>
      </c>
      <c r="F64" s="31">
        <f t="shared" si="117"/>
        <v>270.39999999999998</v>
      </c>
      <c r="G64" s="31">
        <f t="shared" si="117"/>
        <v>249.5</v>
      </c>
      <c r="H64" s="31">
        <f t="shared" si="117"/>
        <v>228.34996818139575</v>
      </c>
      <c r="I64" s="31">
        <f t="shared" si="117"/>
        <v>173.2310103445071</v>
      </c>
      <c r="J64" s="31">
        <f t="shared" si="117"/>
        <v>185.35718106862262</v>
      </c>
      <c r="K64" s="31">
        <f t="shared" si="117"/>
        <v>198.33218374342624</v>
      </c>
      <c r="L64" s="31">
        <f t="shared" si="117"/>
        <v>212.2154366054661</v>
      </c>
    </row>
    <row r="65" spans="2:12" s="7" customFormat="1" x14ac:dyDescent="0.2">
      <c r="B65" s="1" t="s">
        <v>65</v>
      </c>
      <c r="C65" s="31"/>
      <c r="D65" s="31">
        <f t="shared" ref="D65:L65" si="118">D33</f>
        <v>31.1</v>
      </c>
      <c r="E65" s="31">
        <f t="shared" si="118"/>
        <v>35</v>
      </c>
      <c r="F65" s="31">
        <f t="shared" si="118"/>
        <v>194.5</v>
      </c>
      <c r="G65" s="31">
        <f t="shared" si="118"/>
        <v>49</v>
      </c>
      <c r="H65" s="31">
        <f t="shared" si="118"/>
        <v>48.473106130584689</v>
      </c>
      <c r="I65" s="31">
        <f t="shared" si="118"/>
        <v>36.772701202512515</v>
      </c>
      <c r="J65" s="31">
        <f t="shared" si="118"/>
        <v>39.346790286688396</v>
      </c>
      <c r="K65" s="31">
        <f t="shared" si="118"/>
        <v>42.101065606756592</v>
      </c>
      <c r="L65" s="31">
        <f t="shared" si="118"/>
        <v>45.048140199229557</v>
      </c>
    </row>
    <row r="66" spans="2:12" s="7" customFormat="1" x14ac:dyDescent="0.2">
      <c r="B66" s="15" t="s">
        <v>66</v>
      </c>
      <c r="C66" s="37"/>
      <c r="D66" s="37">
        <f t="shared" ref="D66:L66" si="119">D50</f>
        <v>-366.80000000000018</v>
      </c>
      <c r="E66" s="37">
        <f t="shared" si="119"/>
        <v>-326.5</v>
      </c>
      <c r="F66" s="37">
        <f t="shared" si="119"/>
        <v>43.799999999999955</v>
      </c>
      <c r="G66" s="37">
        <f t="shared" si="119"/>
        <v>44.400000000000205</v>
      </c>
      <c r="H66" s="37">
        <f t="shared" si="119"/>
        <v>51.760726775224157</v>
      </c>
      <c r="I66" s="37">
        <f t="shared" si="119"/>
        <v>103.65775560598058</v>
      </c>
      <c r="J66" s="37">
        <f t="shared" si="119"/>
        <v>-22.804706233315756</v>
      </c>
      <c r="K66" s="37">
        <f t="shared" si="119"/>
        <v>-24.401035669647854</v>
      </c>
      <c r="L66" s="37">
        <f t="shared" si="119"/>
        <v>-26.109108166523242</v>
      </c>
    </row>
    <row r="67" spans="2:12" s="7" customFormat="1" ht="17" collapsed="1" thickBot="1" x14ac:dyDescent="0.25">
      <c r="B67" s="1" t="s">
        <v>26</v>
      </c>
      <c r="C67" s="31"/>
      <c r="D67" s="99">
        <f t="shared" ref="D67" si="120">D63+D64-D65-D66</f>
        <v>758.08300000000031</v>
      </c>
      <c r="E67" s="99">
        <f t="shared" ref="E67" si="121">E63+E64-E65-E66</f>
        <v>725.97300000000007</v>
      </c>
      <c r="F67" s="99">
        <f t="shared" ref="F67" si="122">F63+F64-F65-F66</f>
        <v>112.12700000000018</v>
      </c>
      <c r="G67" s="99">
        <f t="shared" ref="G67" si="123">G63+G64-G65-G66</f>
        <v>178.53599999999989</v>
      </c>
      <c r="H67" s="100">
        <f t="shared" ref="H67" si="124">H63+H64-H65-H66</f>
        <v>361.87775407225683</v>
      </c>
      <c r="I67" s="100">
        <f t="shared" ref="I67" si="125">I63+I64-I65-I66</f>
        <v>210.13695400245319</v>
      </c>
      <c r="J67" s="100">
        <f t="shared" ref="J67" si="126">J63+J64-J65-J66</f>
        <v>358.56504551433994</v>
      </c>
      <c r="K67" s="100">
        <f t="shared" ref="K67" si="127">K63+K64-K65-K66</f>
        <v>383.66459870034373</v>
      </c>
      <c r="L67" s="100">
        <f t="shared" ref="L67" si="128">L63+L64-L65-L66</f>
        <v>410.52112060936793</v>
      </c>
    </row>
    <row r="68" spans="2:12" s="7" customFormat="1" ht="17" hidden="1" outlineLevel="1" thickBot="1" x14ac:dyDescent="0.25">
      <c r="B68" s="6" t="s">
        <v>6</v>
      </c>
      <c r="C68" s="38"/>
      <c r="D68" s="38"/>
      <c r="E68" s="38">
        <f t="shared" ref="E68" si="129">(E67-D67)/D67</f>
        <v>-4.2356839554508183E-2</v>
      </c>
      <c r="F68" s="38">
        <f t="shared" ref="F68" si="130">(F67-E67)/E67</f>
        <v>-0.84554935238638329</v>
      </c>
      <c r="G68" s="38">
        <f t="shared" ref="G68" si="131">(G67-F67)/F67</f>
        <v>0.59226591275963503</v>
      </c>
      <c r="H68" s="38">
        <f>(H67-G67)/G67</f>
        <v>1.0269175632491883</v>
      </c>
      <c r="I68" s="38">
        <f t="shared" ref="I68:L68" si="132">(I67-H67)/H67</f>
        <v>-0.41931508185359539</v>
      </c>
      <c r="J68" s="38">
        <f t="shared" si="132"/>
        <v>0.70633978786117724</v>
      </c>
      <c r="K68" s="38">
        <f t="shared" si="132"/>
        <v>6.9999999999999979E-2</v>
      </c>
      <c r="L68" s="38">
        <f t="shared" si="132"/>
        <v>7.0000000000000354E-2</v>
      </c>
    </row>
    <row r="69" spans="2:12" s="7" customFormat="1" ht="17" collapsed="1" thickTop="1" x14ac:dyDescent="0.2">
      <c r="B69" s="16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2:12" s="7" customFormat="1" x14ac:dyDescent="0.2">
      <c r="B70" s="6"/>
      <c r="C70" s="38"/>
      <c r="D70" s="36"/>
      <c r="E70" s="36"/>
      <c r="F70" s="36"/>
      <c r="G70" s="36"/>
      <c r="H70" s="108" t="s">
        <v>5</v>
      </c>
      <c r="I70" s="108"/>
      <c r="J70" s="108"/>
      <c r="K70" s="108"/>
      <c r="L70" s="108"/>
    </row>
    <row r="71" spans="2:12" s="7" customFormat="1" x14ac:dyDescent="0.2">
      <c r="B71" s="4" t="s">
        <v>15</v>
      </c>
      <c r="C71" s="57"/>
      <c r="D71" s="25">
        <f t="shared" ref="D71" ca="1" si="133">E71-1</f>
        <v>2020</v>
      </c>
      <c r="E71" s="25">
        <f t="shared" ref="E71" ca="1" si="134">F71-1</f>
        <v>2021</v>
      </c>
      <c r="F71" s="25">
        <f ca="1">G71-1</f>
        <v>2022</v>
      </c>
      <c r="G71" s="25">
        <f ca="1">YEAR(TODAY())-1</f>
        <v>2023</v>
      </c>
      <c r="H71" s="25">
        <f ca="1">G71+1</f>
        <v>2024</v>
      </c>
      <c r="I71" s="25">
        <f t="shared" ref="I71" ca="1" si="135">H71+1</f>
        <v>2025</v>
      </c>
      <c r="J71" s="25">
        <f t="shared" ref="J71" ca="1" si="136">I71+1</f>
        <v>2026</v>
      </c>
      <c r="K71" s="25">
        <f t="shared" ref="K71" ca="1" si="137">J71+1</f>
        <v>2027</v>
      </c>
      <c r="L71" s="25">
        <f t="shared" ref="L71" ca="1" si="138">K71+1</f>
        <v>2028</v>
      </c>
    </row>
    <row r="72" spans="2:12" s="7" customFormat="1" x14ac:dyDescent="0.2">
      <c r="B72" s="1" t="s">
        <v>4</v>
      </c>
      <c r="C72" s="40"/>
      <c r="D72" s="65">
        <f>D67</f>
        <v>758.08300000000031</v>
      </c>
      <c r="E72" s="65">
        <f t="shared" ref="E72:L72" si="139">E67</f>
        <v>725.97300000000007</v>
      </c>
      <c r="F72" s="65">
        <f t="shared" si="139"/>
        <v>112.12700000000018</v>
      </c>
      <c r="G72" s="65">
        <f t="shared" si="139"/>
        <v>178.53599999999989</v>
      </c>
      <c r="H72" s="65">
        <f>H67</f>
        <v>361.87775407225683</v>
      </c>
      <c r="I72" s="65">
        <f t="shared" si="139"/>
        <v>210.13695400245319</v>
      </c>
      <c r="J72" s="65">
        <f t="shared" si="139"/>
        <v>358.56504551433994</v>
      </c>
      <c r="K72" s="65">
        <f t="shared" si="139"/>
        <v>383.66459870034373</v>
      </c>
      <c r="L72" s="65">
        <f t="shared" si="139"/>
        <v>410.52112060936793</v>
      </c>
    </row>
    <row r="73" spans="2:12" s="7" customFormat="1" x14ac:dyDescent="0.2">
      <c r="B73" s="1" t="s">
        <v>67</v>
      </c>
      <c r="C73" s="40"/>
      <c r="D73" s="65">
        <f t="shared" ref="D73:L73" si="140">D21*(1-D57)</f>
        <v>144.17500000000001</v>
      </c>
      <c r="E73" s="65">
        <f t="shared" si="140"/>
        <v>138.803</v>
      </c>
      <c r="F73" s="65">
        <f t="shared" si="140"/>
        <v>132.64100000000002</v>
      </c>
      <c r="G73" s="65">
        <f t="shared" si="140"/>
        <v>169.69200000000001</v>
      </c>
      <c r="H73" s="65">
        <f t="shared" si="140"/>
        <v>136.16292628515029</v>
      </c>
      <c r="I73" s="65">
        <f t="shared" si="140"/>
        <v>97.266334883907092</v>
      </c>
      <c r="J73" s="65">
        <f t="shared" si="140"/>
        <v>97.623222694580591</v>
      </c>
      <c r="K73" s="65">
        <f t="shared" si="140"/>
        <v>97.55346975781724</v>
      </c>
      <c r="L73" s="65">
        <f t="shared" si="140"/>
        <v>96.99559761870357</v>
      </c>
    </row>
    <row r="74" spans="2:12" s="7" customFormat="1" x14ac:dyDescent="0.2">
      <c r="B74" s="15" t="s">
        <v>68</v>
      </c>
      <c r="C74" s="41"/>
      <c r="D74" s="66">
        <f>D53</f>
        <v>-456.89999999999918</v>
      </c>
      <c r="E74" s="66">
        <f t="shared" ref="E74:L74" si="141">E53</f>
        <v>-33.800000000001091</v>
      </c>
      <c r="F74" s="66">
        <f t="shared" si="141"/>
        <v>788.50000000000091</v>
      </c>
      <c r="G74" s="66">
        <f t="shared" si="141"/>
        <v>304.09999999999991</v>
      </c>
      <c r="H74" s="66">
        <f>H53</f>
        <v>-769.61206971068259</v>
      </c>
      <c r="I74" s="66">
        <f t="shared" si="141"/>
        <v>-774.36605213880102</v>
      </c>
      <c r="J74" s="66">
        <f t="shared" si="141"/>
        <v>170.36053147053644</v>
      </c>
      <c r="K74" s="66">
        <f t="shared" si="141"/>
        <v>182.28576867347419</v>
      </c>
      <c r="L74" s="66">
        <f t="shared" si="141"/>
        <v>195.04577248061696</v>
      </c>
    </row>
    <row r="75" spans="2:12" s="7" customFormat="1" ht="17" thickBot="1" x14ac:dyDescent="0.25">
      <c r="B75" s="1" t="s">
        <v>13</v>
      </c>
      <c r="C75" s="40"/>
      <c r="D75" s="99">
        <f t="shared" ref="D75:F75" si="142">D72-D73+D74</f>
        <v>157.00800000000118</v>
      </c>
      <c r="E75" s="99">
        <f t="shared" si="142"/>
        <v>553.36999999999898</v>
      </c>
      <c r="F75" s="99">
        <f t="shared" si="142"/>
        <v>767.98600000000101</v>
      </c>
      <c r="G75" s="99">
        <f>G72-G73+G74</f>
        <v>312.94399999999979</v>
      </c>
      <c r="H75" s="100">
        <f>H72-H73+H74</f>
        <v>-543.89724192357608</v>
      </c>
      <c r="I75" s="100">
        <f t="shared" ref="I75:L75" si="143">I72-I73+I74</f>
        <v>-661.49543302025495</v>
      </c>
      <c r="J75" s="100">
        <f t="shared" si="143"/>
        <v>431.3023542902958</v>
      </c>
      <c r="K75" s="100">
        <f t="shared" si="143"/>
        <v>468.39689761600067</v>
      </c>
      <c r="L75" s="100">
        <f t="shared" si="143"/>
        <v>508.5712954712813</v>
      </c>
    </row>
    <row r="76" spans="2:12" s="7" customFormat="1" ht="17" hidden="1" outlineLevel="1" thickBot="1" x14ac:dyDescent="0.25">
      <c r="B76" s="6" t="s">
        <v>6</v>
      </c>
      <c r="C76" s="38"/>
      <c r="D76" s="38"/>
      <c r="E76" s="38">
        <f t="shared" ref="E76:G76" si="144">(E75-D75)/D75</f>
        <v>2.5244700906959827</v>
      </c>
      <c r="F76" s="38">
        <f t="shared" si="144"/>
        <v>0.38783454108463133</v>
      </c>
      <c r="G76" s="38">
        <f t="shared" si="144"/>
        <v>-0.59251340519228302</v>
      </c>
      <c r="H76" s="38">
        <f>(H75-G75)/G75</f>
        <v>-2.7380018211679289</v>
      </c>
      <c r="I76" s="38">
        <f t="shared" ref="I76:L76" si="145">(I75-H75)/H75</f>
        <v>0.21621398681996404</v>
      </c>
      <c r="J76" s="38">
        <f t="shared" si="145"/>
        <v>-1.6520110839179285</v>
      </c>
      <c r="K76" s="38">
        <f t="shared" si="145"/>
        <v>8.60058911265245E-2</v>
      </c>
      <c r="L76" s="38">
        <f t="shared" si="145"/>
        <v>8.5769991346561505E-2</v>
      </c>
    </row>
    <row r="77" spans="2:12" s="7" customFormat="1" ht="17" collapsed="1" thickTop="1" x14ac:dyDescent="0.2">
      <c r="B77" s="16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2:12" s="7" customFormat="1" x14ac:dyDescent="0.2">
      <c r="B78" s="6"/>
      <c r="C78" s="38"/>
      <c r="D78" s="38"/>
      <c r="E78" s="38"/>
      <c r="F78" s="38"/>
      <c r="G78" s="38"/>
      <c r="H78" s="38"/>
      <c r="I78" s="38"/>
      <c r="J78" s="38"/>
      <c r="K78" s="38"/>
      <c r="L78" s="38"/>
    </row>
    <row r="79" spans="2:12" s="7" customFormat="1" x14ac:dyDescent="0.2">
      <c r="B79" s="4" t="s">
        <v>63</v>
      </c>
      <c r="C79" s="61"/>
      <c r="D79" s="61"/>
      <c r="E79" s="61"/>
      <c r="F79" s="61"/>
      <c r="G79" s="61"/>
      <c r="H79" s="61"/>
      <c r="I79" s="61"/>
      <c r="J79" s="61"/>
      <c r="K79" s="61"/>
      <c r="L79" s="61"/>
    </row>
    <row r="80" spans="2:12" s="7" customFormat="1" x14ac:dyDescent="0.2">
      <c r="D80" s="38"/>
      <c r="J80" s="38"/>
      <c r="K80" s="36"/>
      <c r="L80" s="36"/>
    </row>
    <row r="81" spans="2:12" s="7" customFormat="1" x14ac:dyDescent="0.2">
      <c r="B81" s="43" t="s">
        <v>72</v>
      </c>
      <c r="C81" s="44">
        <v>0.09</v>
      </c>
      <c r="D81" s="38"/>
      <c r="E81" s="43" t="s">
        <v>47</v>
      </c>
      <c r="F81" s="21">
        <v>4569.8</v>
      </c>
      <c r="G81" s="38"/>
      <c r="H81" s="18" t="s">
        <v>77</v>
      </c>
      <c r="I81" s="65">
        <v>465.1</v>
      </c>
      <c r="K81" s="43" t="s">
        <v>74</v>
      </c>
      <c r="L81" s="44">
        <v>0.02</v>
      </c>
    </row>
    <row r="82" spans="2:12" s="7" customFormat="1" x14ac:dyDescent="0.2">
      <c r="B82" s="43" t="s">
        <v>20</v>
      </c>
      <c r="C82" s="42">
        <v>1.32</v>
      </c>
      <c r="E82" s="43" t="s">
        <v>43</v>
      </c>
      <c r="F82" s="46">
        <f>C82/(1+(F84*(1-F86)))</f>
        <v>0.51809051907680037</v>
      </c>
      <c r="G82" s="38"/>
      <c r="H82" s="18" t="s">
        <v>79</v>
      </c>
      <c r="I82" s="65">
        <f>L17+L64</f>
        <v>487.20874804421061</v>
      </c>
      <c r="K82" s="43" t="s">
        <v>71</v>
      </c>
      <c r="L82" s="45">
        <f>4569/(2332+4569)</f>
        <v>0.66207795971598316</v>
      </c>
    </row>
    <row r="83" spans="2:12" s="7" customFormat="1" x14ac:dyDescent="0.2">
      <c r="B83" s="43" t="s">
        <v>73</v>
      </c>
      <c r="C83" s="44">
        <v>5.4600000000000003E-2</v>
      </c>
      <c r="E83" s="43" t="s">
        <v>44</v>
      </c>
      <c r="F83" s="46">
        <f>F82*(1+(F85*(1-F86)))</f>
        <v>0.90691745364393905</v>
      </c>
      <c r="G83" s="38"/>
      <c r="H83" s="18" t="s">
        <v>78</v>
      </c>
      <c r="I83" s="67">
        <v>7029.2</v>
      </c>
      <c r="K83" s="43" t="s">
        <v>70</v>
      </c>
      <c r="L83" s="45">
        <f>1-L82</f>
        <v>0.33792204028401684</v>
      </c>
    </row>
    <row r="84" spans="2:12" s="7" customFormat="1" x14ac:dyDescent="0.2">
      <c r="B84" s="43" t="s">
        <v>75</v>
      </c>
      <c r="C84" s="62">
        <f>C83+C82*(C81-C83)</f>
        <v>0.101328</v>
      </c>
      <c r="E84" s="43" t="s">
        <v>21</v>
      </c>
      <c r="F84" s="45">
        <f>4569/2332</f>
        <v>1.9592624356775301</v>
      </c>
      <c r="G84" s="18"/>
      <c r="H84" s="18" t="s">
        <v>80</v>
      </c>
      <c r="I84" s="46">
        <f>I83/I81</f>
        <v>15.113308965813802</v>
      </c>
      <c r="K84" s="43" t="s">
        <v>46</v>
      </c>
      <c r="L84" s="64">
        <v>0.11</v>
      </c>
    </row>
    <row r="85" spans="2:12" s="7" customFormat="1" x14ac:dyDescent="0.2">
      <c r="B85" s="43" t="s">
        <v>40</v>
      </c>
      <c r="C85" s="22">
        <v>83.56</v>
      </c>
      <c r="E85" s="43" t="s">
        <v>42</v>
      </c>
      <c r="F85" s="45">
        <v>0.95</v>
      </c>
      <c r="H85" s="18" t="s">
        <v>85</v>
      </c>
      <c r="I85" s="69">
        <f>I83/I82</f>
        <v>14.427491353997921</v>
      </c>
      <c r="K85" s="43" t="s">
        <v>45</v>
      </c>
      <c r="L85" s="48">
        <f>C83+F83*(C81-C83)</f>
        <v>8.6704877858995444E-2</v>
      </c>
    </row>
    <row r="86" spans="2:12" s="7" customFormat="1" x14ac:dyDescent="0.2">
      <c r="B86" s="17" t="s">
        <v>83</v>
      </c>
      <c r="C86" s="103">
        <v>10.19</v>
      </c>
      <c r="E86" s="43" t="s">
        <v>16</v>
      </c>
      <c r="F86" s="45">
        <v>0.21</v>
      </c>
      <c r="G86" s="18"/>
      <c r="H86" s="18" t="s">
        <v>84</v>
      </c>
      <c r="I86" s="70">
        <f>I82*I85</f>
        <v>7029.2</v>
      </c>
      <c r="K86" s="43" t="s">
        <v>19</v>
      </c>
      <c r="L86" s="48">
        <f>L83*L85+L82*L84*(1-F86)</f>
        <v>8.683406392800716E-2</v>
      </c>
    </row>
    <row r="87" spans="2:12" s="7" customFormat="1" x14ac:dyDescent="0.2">
      <c r="I87" s="38"/>
      <c r="K87" s="43"/>
      <c r="L87" s="48"/>
    </row>
    <row r="88" spans="2:12" s="7" customFormat="1" x14ac:dyDescent="0.2">
      <c r="I88" s="38"/>
      <c r="K88" s="43"/>
      <c r="L88" s="48"/>
    </row>
    <row r="89" spans="2:12" s="7" customFormat="1" x14ac:dyDescent="0.2">
      <c r="B89" s="4" t="s">
        <v>81</v>
      </c>
      <c r="C89" s="61"/>
      <c r="D89" s="61"/>
      <c r="E89" s="61"/>
      <c r="F89" s="61"/>
      <c r="G89" s="61"/>
      <c r="H89" s="38"/>
    </row>
    <row r="90" spans="2:12" s="7" customFormat="1" x14ac:dyDescent="0.2">
      <c r="C90" s="47">
        <v>1</v>
      </c>
      <c r="D90" s="47">
        <v>2</v>
      </c>
      <c r="E90" s="47">
        <v>3</v>
      </c>
      <c r="F90" s="47">
        <v>4</v>
      </c>
      <c r="G90" s="47">
        <v>5</v>
      </c>
    </row>
    <row r="91" spans="2:12" s="7" customFormat="1" x14ac:dyDescent="0.2">
      <c r="B91" s="38"/>
      <c r="C91" s="63">
        <f ca="1">H8</f>
        <v>2024</v>
      </c>
      <c r="D91" s="63">
        <f t="shared" ref="D91:G91" ca="1" si="146">I8</f>
        <v>2025</v>
      </c>
      <c r="E91" s="63">
        <f t="shared" ca="1" si="146"/>
        <v>2026</v>
      </c>
      <c r="F91" s="63">
        <f t="shared" ca="1" si="146"/>
        <v>2027</v>
      </c>
      <c r="G91" s="63">
        <f t="shared" ca="1" si="146"/>
        <v>2028</v>
      </c>
    </row>
    <row r="92" spans="2:12" s="7" customFormat="1" x14ac:dyDescent="0.2">
      <c r="B92" s="17" t="s">
        <v>4</v>
      </c>
      <c r="C92" s="49">
        <f>H67</f>
        <v>361.87775407225683</v>
      </c>
      <c r="D92" s="49">
        <f>I67</f>
        <v>210.13695400245319</v>
      </c>
      <c r="E92" s="49">
        <f>J67</f>
        <v>358.56504551433994</v>
      </c>
      <c r="F92" s="49">
        <f>K67</f>
        <v>383.66459870034373</v>
      </c>
      <c r="G92" s="49">
        <f>L67</f>
        <v>410.52112060936793</v>
      </c>
    </row>
    <row r="93" spans="2:12" s="7" customFormat="1" x14ac:dyDescent="0.2">
      <c r="B93" s="17" t="s">
        <v>61</v>
      </c>
      <c r="C93" s="41"/>
      <c r="D93" s="41"/>
      <c r="E93" s="41"/>
      <c r="F93" s="41"/>
      <c r="G93" s="50">
        <f>(L67*(1+L81))/($L$86-L81)</f>
        <v>6265.2413815896016</v>
      </c>
    </row>
    <row r="94" spans="2:12" s="7" customFormat="1" x14ac:dyDescent="0.2">
      <c r="B94" s="18" t="s">
        <v>38</v>
      </c>
      <c r="C94" s="31">
        <f>SUM(C92:C93)/(1+$L$86)^C90</f>
        <v>332.96504598353107</v>
      </c>
      <c r="D94" s="31">
        <f>SUM(D92:D93)/(1+$L$86)^D90</f>
        <v>177.90000045983845</v>
      </c>
      <c r="E94" s="31">
        <f>SUM(E92:E93)/(1+$L$86)^E90</f>
        <v>279.30468791899409</v>
      </c>
      <c r="F94" s="31">
        <f>SUM(F92:F93)/(1+$L$86)^F90</f>
        <v>274.97851419305545</v>
      </c>
      <c r="G94" s="31">
        <f>SUM(G92:G93)/(1+$L$86)^G90</f>
        <v>4402.351030209793</v>
      </c>
    </row>
    <row r="95" spans="2:12" s="7" customFormat="1" x14ac:dyDescent="0.2">
      <c r="B95" s="17" t="s">
        <v>39</v>
      </c>
      <c r="C95" s="31">
        <f>SUM(C94:G94)</f>
        <v>5467.4992787652118</v>
      </c>
    </row>
    <row r="96" spans="2:12" s="7" customFormat="1" x14ac:dyDescent="0.2">
      <c r="B96" s="17" t="s">
        <v>47</v>
      </c>
      <c r="C96" s="37">
        <f>-F81</f>
        <v>-4569.8</v>
      </c>
      <c r="D96" s="36"/>
      <c r="E96" s="36"/>
      <c r="F96" s="36"/>
    </row>
    <row r="97" spans="2:19" s="7" customFormat="1" collapsed="1" x14ac:dyDescent="0.2">
      <c r="B97" s="17" t="s">
        <v>48</v>
      </c>
      <c r="C97" s="51">
        <f>C95+C96</f>
        <v>897.6992787652116</v>
      </c>
      <c r="D97" s="36"/>
      <c r="E97" s="36"/>
      <c r="F97" s="36"/>
      <c r="N97" s="20"/>
    </row>
    <row r="98" spans="2:19" s="7" customFormat="1" x14ac:dyDescent="0.2">
      <c r="B98" s="17" t="s">
        <v>40</v>
      </c>
      <c r="C98" s="31">
        <f>C85</f>
        <v>83.56</v>
      </c>
      <c r="D98" s="36"/>
      <c r="F98" s="17" t="s">
        <v>49</v>
      </c>
      <c r="G98" s="77">
        <f>C86</f>
        <v>10.19</v>
      </c>
      <c r="N98" s="20"/>
      <c r="O98" s="9"/>
      <c r="P98" s="9"/>
      <c r="Q98" s="9"/>
      <c r="R98" s="9"/>
      <c r="S98" s="9"/>
    </row>
    <row r="99" spans="2:19" s="7" customFormat="1" ht="17" collapsed="1" thickBot="1" x14ac:dyDescent="0.25">
      <c r="B99" s="17" t="s">
        <v>41</v>
      </c>
      <c r="C99" s="52">
        <f>C97/C98</f>
        <v>10.743169922992001</v>
      </c>
      <c r="D99" s="31"/>
      <c r="F99" s="17" t="s">
        <v>50</v>
      </c>
      <c r="G99" s="53">
        <f>C99/G98-1</f>
        <v>5.428556653503458E-2</v>
      </c>
      <c r="N99" s="71"/>
    </row>
    <row r="100" spans="2:19" s="7" customFormat="1" ht="17" thickTop="1" x14ac:dyDescent="0.2">
      <c r="D100" s="46"/>
      <c r="N100" s="20"/>
    </row>
    <row r="101" spans="2:19" s="7" customFormat="1" x14ac:dyDescent="0.2">
      <c r="B101" s="17"/>
      <c r="C101" s="53"/>
      <c r="D101" s="38"/>
      <c r="E101" s="38"/>
      <c r="F101" s="38"/>
      <c r="G101" s="72"/>
      <c r="H101" s="68"/>
      <c r="I101" s="68"/>
      <c r="J101" s="68"/>
      <c r="K101" s="68"/>
      <c r="L101" s="68"/>
      <c r="N101" s="20"/>
    </row>
    <row r="102" spans="2:19" s="7" customFormat="1" x14ac:dyDescent="0.2">
      <c r="B102" s="17"/>
      <c r="C102" s="104" t="s">
        <v>86</v>
      </c>
      <c r="D102" s="104"/>
      <c r="E102" s="104"/>
      <c r="F102" s="104"/>
      <c r="G102" s="104"/>
      <c r="H102" s="68"/>
      <c r="I102" s="68"/>
      <c r="J102" s="68"/>
      <c r="K102" s="68"/>
      <c r="L102" s="68"/>
      <c r="N102" s="20"/>
    </row>
    <row r="103" spans="2:19" s="7" customFormat="1" x14ac:dyDescent="0.2">
      <c r="B103" s="17"/>
      <c r="C103" s="105" t="s">
        <v>23</v>
      </c>
      <c r="D103" s="105"/>
      <c r="E103" s="105"/>
      <c r="F103" s="105"/>
      <c r="G103" s="105"/>
      <c r="H103" s="68"/>
      <c r="I103" s="68"/>
      <c r="J103" s="68"/>
      <c r="K103" s="68"/>
      <c r="L103" s="68"/>
      <c r="N103" s="20"/>
    </row>
    <row r="104" spans="2:19" s="7" customFormat="1" x14ac:dyDescent="0.2">
      <c r="B104" s="73"/>
      <c r="C104" s="75">
        <f>D104-0.0025</f>
        <v>1.5000000000000001E-2</v>
      </c>
      <c r="D104" s="75">
        <f>E104-0.0025</f>
        <v>1.7500000000000002E-2</v>
      </c>
      <c r="E104" s="75">
        <f>L81</f>
        <v>0.02</v>
      </c>
      <c r="F104" s="75">
        <f>E104+0.0025</f>
        <v>2.2499999999999999E-2</v>
      </c>
      <c r="G104" s="75">
        <f>F104+0.0025</f>
        <v>2.4999999999999998E-2</v>
      </c>
      <c r="H104" s="68"/>
      <c r="I104" s="68"/>
      <c r="J104" s="68"/>
      <c r="K104" s="68"/>
      <c r="L104" s="68"/>
      <c r="N104" s="20"/>
    </row>
    <row r="105" spans="2:19" s="7" customFormat="1" x14ac:dyDescent="0.2">
      <c r="B105" s="74">
        <f>B106-0.005</f>
        <v>7.6834063928007151E-2</v>
      </c>
      <c r="C105" s="68">
        <f t="shared" ref="C105:G109" si="147">(NPV($B105,$C$92,$D$92,$E$92,$F$92,$G$92+(($G$92*(1+C$104)/($B105-C$104))))-$F$81)/$C$98</f>
        <v>17.442953386925222</v>
      </c>
      <c r="D105" s="68">
        <f t="shared" si="147"/>
        <v>19.932670795789914</v>
      </c>
      <c r="E105" s="68">
        <f t="shared" si="147"/>
        <v>22.64142211115286</v>
      </c>
      <c r="F105" s="68">
        <f t="shared" si="147"/>
        <v>25.599441668161777</v>
      </c>
      <c r="G105" s="68">
        <f t="shared" si="147"/>
        <v>28.842796710452838</v>
      </c>
      <c r="H105" s="68"/>
      <c r="I105" s="68"/>
      <c r="J105" s="68"/>
      <c r="K105" s="68"/>
      <c r="L105" s="68"/>
      <c r="N105" s="20"/>
    </row>
    <row r="106" spans="2:19" s="7" customFormat="1" x14ac:dyDescent="0.2">
      <c r="B106" s="74">
        <f>B107-0.005</f>
        <v>8.1834063928007156E-2</v>
      </c>
      <c r="C106" s="68">
        <f t="shared" si="147"/>
        <v>11.86989792208526</v>
      </c>
      <c r="D106" s="68">
        <f t="shared" si="147"/>
        <v>13.955327932272718</v>
      </c>
      <c r="E106" s="68">
        <f t="shared" si="147"/>
        <v>16.209389104453297</v>
      </c>
      <c r="F106" s="68">
        <f t="shared" si="147"/>
        <v>18.653396912929971</v>
      </c>
      <c r="G106" s="68">
        <f t="shared" si="147"/>
        <v>21.312417307130989</v>
      </c>
      <c r="H106" s="68"/>
      <c r="I106" s="68"/>
      <c r="J106" s="68"/>
      <c r="K106" s="68"/>
      <c r="L106" s="68"/>
      <c r="N106" s="20"/>
    </row>
    <row r="107" spans="2:19" s="7" customFormat="1" x14ac:dyDescent="0.2">
      <c r="B107" s="74">
        <f>L86</f>
        <v>8.683406392800716E-2</v>
      </c>
      <c r="C107" s="68">
        <f t="shared" si="147"/>
        <v>7.0760441522903141</v>
      </c>
      <c r="D107" s="68">
        <f t="shared" si="147"/>
        <v>8.8434936879587163</v>
      </c>
      <c r="E107" s="68">
        <f t="shared" si="147"/>
        <v>10.743169922992001</v>
      </c>
      <c r="F107" s="68">
        <f t="shared" si="147"/>
        <v>12.790487712051679</v>
      </c>
      <c r="G107" s="68">
        <f t="shared" si="147"/>
        <v>15.003354848752791</v>
      </c>
      <c r="H107" s="68"/>
      <c r="I107" s="68"/>
      <c r="J107" s="68"/>
      <c r="K107" s="68"/>
      <c r="L107" s="68"/>
      <c r="N107" s="20"/>
    </row>
    <row r="108" spans="2:19" s="7" customFormat="1" x14ac:dyDescent="0.2">
      <c r="B108" s="74">
        <f>B107+0.005</f>
        <v>9.1834063928007165E-2</v>
      </c>
      <c r="C108" s="68">
        <f t="shared" si="147"/>
        <v>2.9091975616761552</v>
      </c>
      <c r="D108" s="68">
        <f t="shared" si="147"/>
        <v>4.4224411520149483</v>
      </c>
      <c r="E108" s="68">
        <f t="shared" si="147"/>
        <v>6.0410138513858609</v>
      </c>
      <c r="F108" s="68">
        <f t="shared" si="147"/>
        <v>7.7763093135427201</v>
      </c>
      <c r="G108" s="68">
        <f t="shared" si="147"/>
        <v>9.641425959701353</v>
      </c>
      <c r="H108" s="68"/>
      <c r="I108" s="68"/>
      <c r="J108" s="68"/>
      <c r="K108" s="68"/>
      <c r="L108" s="68"/>
      <c r="N108" s="20"/>
    </row>
    <row r="109" spans="2:19" s="7" customFormat="1" x14ac:dyDescent="0.2">
      <c r="B109" s="74">
        <f>B108+0.005</f>
        <v>9.6834063928007169E-2</v>
      </c>
      <c r="C109" s="68">
        <f t="shared" si="147"/>
        <v>-0.74563854766224025</v>
      </c>
      <c r="D109" s="68">
        <f t="shared" si="147"/>
        <v>0.56149374333716906</v>
      </c>
      <c r="E109" s="68">
        <f t="shared" si="147"/>
        <v>1.9536880643903272</v>
      </c>
      <c r="F109" s="68">
        <f t="shared" si="147"/>
        <v>3.4395268229655134</v>
      </c>
      <c r="G109" s="68">
        <f t="shared" si="147"/>
        <v>5.0287871810804683</v>
      </c>
      <c r="H109" s="68"/>
      <c r="I109" s="68"/>
      <c r="J109" s="68"/>
      <c r="K109" s="68"/>
      <c r="L109" s="68"/>
      <c r="N109" s="20"/>
    </row>
    <row r="110" spans="2:19" s="7" customFormat="1" x14ac:dyDescent="0.2">
      <c r="B110" s="17"/>
      <c r="C110" s="53"/>
      <c r="D110" s="38"/>
      <c r="E110" s="38"/>
      <c r="F110" s="38"/>
      <c r="G110" s="72"/>
      <c r="H110" s="68"/>
      <c r="I110" s="68"/>
      <c r="J110" s="68"/>
      <c r="K110" s="68"/>
      <c r="L110" s="68"/>
      <c r="N110" s="20"/>
    </row>
    <row r="111" spans="2:19" s="7" customFormat="1" x14ac:dyDescent="0.2">
      <c r="D111" s="38"/>
      <c r="E111" s="38"/>
      <c r="F111" s="38"/>
    </row>
    <row r="112" spans="2:19" s="7" customFormat="1" x14ac:dyDescent="0.2">
      <c r="B112" s="4" t="s">
        <v>82</v>
      </c>
      <c r="C112" s="61"/>
      <c r="D112" s="61"/>
      <c r="E112" s="61"/>
      <c r="F112" s="61"/>
      <c r="G112" s="61"/>
    </row>
    <row r="113" spans="2:7" s="7" customFormat="1" x14ac:dyDescent="0.2">
      <c r="C113" s="47">
        <v>1</v>
      </c>
      <c r="D113" s="47">
        <v>2</v>
      </c>
      <c r="E113" s="47">
        <v>3</v>
      </c>
      <c r="F113" s="47">
        <v>4</v>
      </c>
      <c r="G113" s="47">
        <v>5</v>
      </c>
    </row>
    <row r="114" spans="2:7" s="7" customFormat="1" x14ac:dyDescent="0.2">
      <c r="B114" s="38"/>
      <c r="C114" s="63">
        <f ca="1">H8</f>
        <v>2024</v>
      </c>
      <c r="D114" s="63">
        <f t="shared" ref="D114:G114" ca="1" si="148">I8</f>
        <v>2025</v>
      </c>
      <c r="E114" s="63">
        <f t="shared" ca="1" si="148"/>
        <v>2026</v>
      </c>
      <c r="F114" s="63">
        <f t="shared" ca="1" si="148"/>
        <v>2027</v>
      </c>
      <c r="G114" s="63">
        <f t="shared" ca="1" si="148"/>
        <v>2028</v>
      </c>
    </row>
    <row r="115" spans="2:7" s="7" customFormat="1" x14ac:dyDescent="0.2">
      <c r="B115" s="17" t="s">
        <v>4</v>
      </c>
      <c r="C115" s="49">
        <f>H67</f>
        <v>361.87775407225683</v>
      </c>
      <c r="D115" s="49">
        <f t="shared" ref="D115:G115" si="149">I67</f>
        <v>210.13695400245319</v>
      </c>
      <c r="E115" s="49">
        <f t="shared" si="149"/>
        <v>358.56504551433994</v>
      </c>
      <c r="F115" s="49">
        <f t="shared" si="149"/>
        <v>383.66459870034373</v>
      </c>
      <c r="G115" s="49">
        <f t="shared" si="149"/>
        <v>410.52112060936793</v>
      </c>
    </row>
    <row r="116" spans="2:7" s="7" customFormat="1" x14ac:dyDescent="0.2">
      <c r="B116" s="17" t="s">
        <v>87</v>
      </c>
      <c r="C116" s="41"/>
      <c r="D116" s="41"/>
      <c r="E116" s="41"/>
      <c r="F116" s="41"/>
      <c r="G116" s="50">
        <f>I86</f>
        <v>7029.2</v>
      </c>
    </row>
    <row r="117" spans="2:7" s="7" customFormat="1" x14ac:dyDescent="0.2">
      <c r="B117" s="18" t="s">
        <v>38</v>
      </c>
      <c r="C117" s="31">
        <f>SUM(C115:C116)/(1+$L$86)^C113</f>
        <v>332.96504598353107</v>
      </c>
      <c r="D117" s="31">
        <f>SUM(D115:D116)/(1+$L$86)^D113</f>
        <v>177.90000045983845</v>
      </c>
      <c r="E117" s="31">
        <f>SUM(E115:E116)/(1+$L$86)^E113</f>
        <v>279.30468791899409</v>
      </c>
      <c r="F117" s="31">
        <f>SUM(F115:F116)/(1+$L$86)^F113</f>
        <v>274.97851419305545</v>
      </c>
      <c r="G117" s="31">
        <f>SUM(G115:G116)/(1+$L$86)^G113</f>
        <v>4906.1457667194927</v>
      </c>
    </row>
    <row r="118" spans="2:7" s="7" customFormat="1" x14ac:dyDescent="0.2">
      <c r="B118" s="17" t="s">
        <v>39</v>
      </c>
      <c r="C118" s="31">
        <f>SUM(C117:G117)</f>
        <v>5971.2940152749115</v>
      </c>
    </row>
    <row r="119" spans="2:7" s="7" customFormat="1" x14ac:dyDescent="0.2">
      <c r="B119" s="17" t="s">
        <v>47</v>
      </c>
      <c r="C119" s="37">
        <f>-F81</f>
        <v>-4569.8</v>
      </c>
      <c r="D119" s="36"/>
      <c r="E119" s="36"/>
      <c r="F119" s="36"/>
      <c r="G119" s="36"/>
    </row>
    <row r="120" spans="2:7" s="7" customFormat="1" x14ac:dyDescent="0.2">
      <c r="B120" s="17" t="s">
        <v>48</v>
      </c>
      <c r="C120" s="51">
        <f>C118+C119</f>
        <v>1401.4940152749114</v>
      </c>
      <c r="D120" s="36"/>
      <c r="G120" s="36"/>
    </row>
    <row r="121" spans="2:7" s="7" customFormat="1" x14ac:dyDescent="0.2">
      <c r="B121" s="17" t="s">
        <v>40</v>
      </c>
      <c r="C121" s="31">
        <f>C85</f>
        <v>83.56</v>
      </c>
      <c r="D121" s="36"/>
      <c r="F121" s="17" t="s">
        <v>49</v>
      </c>
      <c r="G121" s="77">
        <f>C86</f>
        <v>10.19</v>
      </c>
    </row>
    <row r="122" spans="2:7" s="7" customFormat="1" ht="17" thickBot="1" x14ac:dyDescent="0.25">
      <c r="B122" s="17" t="s">
        <v>41</v>
      </c>
      <c r="C122" s="52">
        <f>C120/C121</f>
        <v>16.772307506880221</v>
      </c>
      <c r="D122" s="31"/>
      <c r="F122" s="17" t="s">
        <v>50</v>
      </c>
      <c r="G122" s="53">
        <f>C122/G121-1</f>
        <v>0.64595755710306402</v>
      </c>
    </row>
    <row r="123" spans="2:7" s="7" customFormat="1" ht="17" thickTop="1" x14ac:dyDescent="0.2">
      <c r="D123" s="46"/>
      <c r="G123" s="46"/>
    </row>
    <row r="124" spans="2:7" s="7" customFormat="1" x14ac:dyDescent="0.2">
      <c r="B124" s="17"/>
      <c r="C124" s="53"/>
      <c r="D124" s="38"/>
      <c r="E124" s="38"/>
      <c r="F124" s="38"/>
      <c r="G124" s="38"/>
    </row>
    <row r="125" spans="2:7" s="7" customFormat="1" x14ac:dyDescent="0.2">
      <c r="B125" s="17"/>
      <c r="C125" s="104" t="s">
        <v>86</v>
      </c>
      <c r="D125" s="104"/>
      <c r="E125" s="104"/>
      <c r="F125" s="104"/>
      <c r="G125" s="104"/>
    </row>
    <row r="126" spans="2:7" s="7" customFormat="1" x14ac:dyDescent="0.2">
      <c r="B126" s="17"/>
      <c r="C126" s="105" t="s">
        <v>24</v>
      </c>
      <c r="D126" s="105"/>
      <c r="E126" s="105"/>
      <c r="F126" s="105"/>
      <c r="G126" s="105"/>
    </row>
    <row r="127" spans="2:7" s="7" customFormat="1" x14ac:dyDescent="0.2">
      <c r="B127" s="73"/>
      <c r="C127" s="76">
        <f>D127-1</f>
        <v>12.427491353997921</v>
      </c>
      <c r="D127" s="76">
        <f>E127-1</f>
        <v>13.427491353997921</v>
      </c>
      <c r="E127" s="76">
        <f>I85</f>
        <v>14.427491353997921</v>
      </c>
      <c r="F127" s="76">
        <f>E127+1</f>
        <v>15.427491353997921</v>
      </c>
      <c r="G127" s="76">
        <f>F127+1</f>
        <v>16.427491353997922</v>
      </c>
    </row>
    <row r="128" spans="2:7" s="7" customFormat="1" x14ac:dyDescent="0.2">
      <c r="B128" s="74">
        <f>B129-0.005</f>
        <v>7.6834063928007151E-2</v>
      </c>
      <c r="C128" s="68">
        <f t="shared" ref="C128:G132" si="150">(NPV($B128,$C$115,$D$115,$E$115,$F$115,$G$115+($I$82*C$127))-$F$81)/$C$121</f>
        <v>11.790486171197102</v>
      </c>
      <c r="D128" s="68">
        <f t="shared" si="150"/>
        <v>15.817403555580245</v>
      </c>
      <c r="E128" s="68">
        <f t="shared" si="150"/>
        <v>19.844320939963378</v>
      </c>
      <c r="F128" s="68">
        <f t="shared" si="150"/>
        <v>23.871238324346532</v>
      </c>
      <c r="G128" s="68">
        <f t="shared" si="150"/>
        <v>27.898155708729686</v>
      </c>
    </row>
    <row r="129" spans="2:12" s="7" customFormat="1" x14ac:dyDescent="0.2">
      <c r="B129" s="74">
        <f>B130-0.005</f>
        <v>8.1834063928007156E-2</v>
      </c>
      <c r="C129" s="68">
        <f t="shared" si="150"/>
        <v>10.418255196841535</v>
      </c>
      <c r="D129" s="68">
        <f t="shared" si="150"/>
        <v>14.352971149936625</v>
      </c>
      <c r="E129" s="68">
        <f t="shared" si="150"/>
        <v>18.287687103031729</v>
      </c>
      <c r="F129" s="68">
        <f t="shared" si="150"/>
        <v>22.222403056126819</v>
      </c>
      <c r="G129" s="68">
        <f t="shared" si="150"/>
        <v>26.157119009221923</v>
      </c>
    </row>
    <row r="130" spans="2:12" s="7" customFormat="1" x14ac:dyDescent="0.2">
      <c r="B130" s="74">
        <f>L86</f>
        <v>8.683406392800716E-2</v>
      </c>
      <c r="C130" s="68">
        <f t="shared" si="150"/>
        <v>9.0822350258744926</v>
      </c>
      <c r="D130" s="68">
        <f t="shared" si="150"/>
        <v>12.927271266377357</v>
      </c>
      <c r="E130" s="68">
        <f t="shared" si="150"/>
        <v>16.772307506880221</v>
      </c>
      <c r="F130" s="68">
        <f t="shared" si="150"/>
        <v>20.617343747383085</v>
      </c>
      <c r="G130" s="68">
        <f t="shared" si="150"/>
        <v>24.46237998788596</v>
      </c>
    </row>
    <row r="131" spans="2:12" s="7" customFormat="1" x14ac:dyDescent="0.2">
      <c r="B131" s="74">
        <f>B130+0.005</f>
        <v>9.1834063928007165E-2</v>
      </c>
      <c r="C131" s="68">
        <f t="shared" si="150"/>
        <v>7.781296478766432</v>
      </c>
      <c r="D131" s="68">
        <f t="shared" si="150"/>
        <v>11.539094626896565</v>
      </c>
      <c r="E131" s="68">
        <f t="shared" si="150"/>
        <v>15.296892775026697</v>
      </c>
      <c r="F131" s="68">
        <f t="shared" si="150"/>
        <v>19.05469092315683</v>
      </c>
      <c r="G131" s="68">
        <f t="shared" si="150"/>
        <v>22.812489071286961</v>
      </c>
    </row>
    <row r="132" spans="2:12" s="7" customFormat="1" x14ac:dyDescent="0.2">
      <c r="B132" s="74">
        <f>B131+0.005</f>
        <v>9.6834063928007169E-2</v>
      </c>
      <c r="C132" s="68">
        <f t="shared" si="150"/>
        <v>6.5143507213527583</v>
      </c>
      <c r="D132" s="68">
        <f t="shared" si="150"/>
        <v>10.18727519336065</v>
      </c>
      <c r="E132" s="68">
        <f t="shared" si="150"/>
        <v>13.86019966536853</v>
      </c>
      <c r="F132" s="68">
        <f t="shared" si="150"/>
        <v>17.533124137376408</v>
      </c>
      <c r="G132" s="68">
        <f t="shared" si="150"/>
        <v>21.2060486093843</v>
      </c>
    </row>
    <row r="133" spans="2:12" s="7" customFormat="1" x14ac:dyDescent="0.2">
      <c r="B133" s="17"/>
      <c r="C133" s="53"/>
      <c r="D133" s="17"/>
      <c r="E133" s="17"/>
      <c r="F133" s="17"/>
      <c r="G133" s="17"/>
    </row>
    <row r="134" spans="2:12" s="7" customFormat="1" x14ac:dyDescent="0.2">
      <c r="D134" s="38"/>
      <c r="E134" s="38"/>
      <c r="F134" s="38"/>
    </row>
    <row r="135" spans="2:12" s="7" customFormat="1" x14ac:dyDescent="0.2">
      <c r="B135" s="4" t="s">
        <v>15</v>
      </c>
      <c r="C135" s="19"/>
      <c r="D135" s="61"/>
      <c r="E135" s="61"/>
      <c r="F135" s="61"/>
      <c r="G135" s="19"/>
    </row>
    <row r="136" spans="2:12" s="7" customFormat="1" collapsed="1" x14ac:dyDescent="0.2">
      <c r="B136" s="17"/>
      <c r="C136" s="47">
        <v>1</v>
      </c>
      <c r="D136" s="47">
        <v>2</v>
      </c>
      <c r="E136" s="47">
        <v>3</v>
      </c>
      <c r="F136" s="47">
        <v>4</v>
      </c>
      <c r="G136" s="47">
        <v>5</v>
      </c>
      <c r="I136" s="38"/>
      <c r="J136" s="38"/>
      <c r="K136" s="38"/>
      <c r="L136" s="38"/>
    </row>
    <row r="137" spans="2:12" s="7" customFormat="1" x14ac:dyDescent="0.2">
      <c r="B137" s="17"/>
      <c r="C137" s="63">
        <f ca="1">H30</f>
        <v>2024</v>
      </c>
      <c r="D137" s="63">
        <f t="shared" ref="D137:F137" ca="1" si="151">I30</f>
        <v>2025</v>
      </c>
      <c r="E137" s="63">
        <f t="shared" ca="1" si="151"/>
        <v>2026</v>
      </c>
      <c r="F137" s="63">
        <f t="shared" ca="1" si="151"/>
        <v>2027</v>
      </c>
      <c r="G137" s="63">
        <f ca="1">L30</f>
        <v>2028</v>
      </c>
      <c r="I137" s="38"/>
      <c r="J137" s="38"/>
      <c r="K137" s="38"/>
      <c r="L137" s="38"/>
    </row>
    <row r="138" spans="2:12" s="7" customFormat="1" x14ac:dyDescent="0.2">
      <c r="B138" s="17" t="s">
        <v>3</v>
      </c>
      <c r="C138" s="49">
        <f>H75</f>
        <v>-543.89724192357608</v>
      </c>
      <c r="D138" s="49">
        <f>I75</f>
        <v>-661.49543302025495</v>
      </c>
      <c r="E138" s="49">
        <f>J75</f>
        <v>431.3023542902958</v>
      </c>
      <c r="F138" s="49">
        <f>K75</f>
        <v>468.39689761600067</v>
      </c>
      <c r="G138" s="49">
        <f>L75</f>
        <v>508.5712954712813</v>
      </c>
      <c r="I138" s="38"/>
      <c r="J138" s="38"/>
      <c r="K138" s="38"/>
      <c r="L138" s="38"/>
    </row>
    <row r="139" spans="2:12" s="7" customFormat="1" x14ac:dyDescent="0.2">
      <c r="B139" s="17" t="s">
        <v>62</v>
      </c>
      <c r="C139" s="47"/>
      <c r="D139" s="47"/>
      <c r="E139" s="47"/>
      <c r="F139" s="47"/>
      <c r="G139" s="50">
        <f>(L75*(1+L81))/($L$85-L81)</f>
        <v>7776.6834754911742</v>
      </c>
      <c r="I139" s="38"/>
      <c r="J139" s="38"/>
      <c r="K139" s="38"/>
      <c r="L139" s="38"/>
    </row>
    <row r="140" spans="2:12" s="7" customFormat="1" x14ac:dyDescent="0.2">
      <c r="B140" s="18" t="s">
        <v>38</v>
      </c>
      <c r="C140" s="54">
        <f>SUM(C138:C139)/(1+$L$85)^C136</f>
        <v>-500.50133481976428</v>
      </c>
      <c r="D140" s="54">
        <f>SUM(D138:D139)/(1+$L$85)^D136</f>
        <v>-560.14906736145417</v>
      </c>
      <c r="E140" s="54">
        <f>SUM(E138:E139)/(1+$L$85)^E136</f>
        <v>336.08333597021698</v>
      </c>
      <c r="F140" s="54">
        <f>SUM(F138:F139)/(1+$L$85)^F136</f>
        <v>335.86716155374563</v>
      </c>
      <c r="G140" s="54">
        <f>SUM(G138:G139)/(1+$L$85)^G136</f>
        <v>5466.9837768787202</v>
      </c>
      <c r="I140" s="38"/>
      <c r="J140" s="38"/>
      <c r="K140" s="38"/>
      <c r="L140" s="38"/>
    </row>
    <row r="141" spans="2:12" s="7" customFormat="1" x14ac:dyDescent="0.2">
      <c r="B141" s="17" t="s">
        <v>39</v>
      </c>
      <c r="C141" s="31">
        <f>SUM(C140:G140)</f>
        <v>5078.2838722214647</v>
      </c>
      <c r="D141" s="38"/>
      <c r="E141" s="38"/>
      <c r="F141" s="38"/>
      <c r="G141" s="38"/>
    </row>
    <row r="142" spans="2:12" s="7" customFormat="1" collapsed="1" x14ac:dyDescent="0.2">
      <c r="B142" s="17" t="s">
        <v>40</v>
      </c>
      <c r="C142" s="31">
        <f>C85</f>
        <v>83.56</v>
      </c>
      <c r="D142" s="38"/>
      <c r="F142" s="17" t="s">
        <v>49</v>
      </c>
      <c r="G142" s="77">
        <f>C86</f>
        <v>10.19</v>
      </c>
    </row>
    <row r="143" spans="2:12" s="7" customFormat="1" ht="17" thickBot="1" x14ac:dyDescent="0.25">
      <c r="B143" s="17" t="s">
        <v>41</v>
      </c>
      <c r="C143" s="52">
        <f>C141/C142</f>
        <v>60.774100912176458</v>
      </c>
      <c r="D143" s="17"/>
      <c r="F143" s="17" t="s">
        <v>50</v>
      </c>
      <c r="G143" s="53">
        <f>C143/G142-1</f>
        <v>4.9640923368181022</v>
      </c>
    </row>
    <row r="144" spans="2:12" s="7" customFormat="1" ht="17" thickTop="1" x14ac:dyDescent="0.2">
      <c r="D144" s="17"/>
      <c r="G144" s="17"/>
    </row>
    <row r="145" spans="2:12" s="7" customFormat="1" x14ac:dyDescent="0.2">
      <c r="B145" s="17"/>
      <c r="C145" s="53"/>
      <c r="D145" s="17"/>
      <c r="E145" s="17"/>
      <c r="F145" s="17"/>
      <c r="G145" s="17"/>
    </row>
    <row r="146" spans="2:12" s="7" customFormat="1" x14ac:dyDescent="0.2">
      <c r="B146" s="17"/>
      <c r="C146" s="104" t="s">
        <v>86</v>
      </c>
      <c r="D146" s="104"/>
      <c r="E146" s="104"/>
      <c r="F146" s="104"/>
      <c r="G146" s="104"/>
    </row>
    <row r="147" spans="2:12" s="7" customFormat="1" x14ac:dyDescent="0.2">
      <c r="B147" s="17"/>
      <c r="C147" s="105" t="s">
        <v>23</v>
      </c>
      <c r="D147" s="105"/>
      <c r="E147" s="105"/>
      <c r="F147" s="105"/>
      <c r="G147" s="105"/>
    </row>
    <row r="148" spans="2:12" s="7" customFormat="1" x14ac:dyDescent="0.2">
      <c r="B148" s="73"/>
      <c r="C148" s="75">
        <f>D148-0.0025</f>
        <v>1.5000000000000001E-2</v>
      </c>
      <c r="D148" s="75">
        <f>E148-0.0025</f>
        <v>1.7500000000000002E-2</v>
      </c>
      <c r="E148" s="75">
        <f>L81</f>
        <v>0.02</v>
      </c>
      <c r="F148" s="75">
        <f>E148+0.0025</f>
        <v>2.2499999999999999E-2</v>
      </c>
      <c r="G148" s="75">
        <f>F148+0.0025</f>
        <v>2.4999999999999998E-2</v>
      </c>
    </row>
    <row r="149" spans="2:12" s="7" customFormat="1" x14ac:dyDescent="0.2">
      <c r="B149" s="74">
        <f>B150-0.005</f>
        <v>7.6704877858995435E-2</v>
      </c>
      <c r="C149" s="68">
        <f t="shared" ref="C149:G153" si="152">(NPV($B149,$C$138,$D$138,$E$138,$F$138,$G$138+(($G$138*(1+C$148)/($B149-C$148)))))/$C$142</f>
        <v>68.823795322110641</v>
      </c>
      <c r="D149" s="68">
        <f t="shared" si="152"/>
        <v>71.922853383582819</v>
      </c>
      <c r="E149" s="68">
        <f t="shared" si="152"/>
        <v>75.295173479864246</v>
      </c>
      <c r="F149" s="68">
        <f t="shared" si="152"/>
        <v>78.978565220385292</v>
      </c>
      <c r="G149" s="68">
        <f t="shared" si="152"/>
        <v>83.018150795322342</v>
      </c>
    </row>
    <row r="150" spans="2:12" s="7" customFormat="1" x14ac:dyDescent="0.2">
      <c r="B150" s="74">
        <f>B151-0.005</f>
        <v>8.1704877858995439E-2</v>
      </c>
      <c r="C150" s="68">
        <f t="shared" si="152"/>
        <v>62.033258762809538</v>
      </c>
      <c r="D150" s="68">
        <f t="shared" si="152"/>
        <v>64.628230617101735</v>
      </c>
      <c r="E150" s="68">
        <f t="shared" si="152"/>
        <v>67.433475301057527</v>
      </c>
      <c r="F150" s="68">
        <f t="shared" si="152"/>
        <v>70.475629914178</v>
      </c>
      <c r="G150" s="68">
        <f t="shared" si="152"/>
        <v>73.786029052988624</v>
      </c>
    </row>
    <row r="151" spans="2:12" s="7" customFormat="1" x14ac:dyDescent="0.2">
      <c r="B151" s="74">
        <f>L85</f>
        <v>8.6704877858995444E-2</v>
      </c>
      <c r="C151" s="68">
        <f t="shared" si="152"/>
        <v>56.211939384803706</v>
      </c>
      <c r="D151" s="68">
        <f t="shared" si="152"/>
        <v>58.410616969904403</v>
      </c>
      <c r="E151" s="68">
        <f t="shared" si="152"/>
        <v>60.774100912176444</v>
      </c>
      <c r="F151" s="68">
        <f t="shared" si="152"/>
        <v>63.321642828007967</v>
      </c>
      <c r="G151" s="68">
        <f t="shared" si="152"/>
        <v>66.075614284276583</v>
      </c>
    </row>
    <row r="152" spans="2:12" s="7" customFormat="1" x14ac:dyDescent="0.2">
      <c r="B152" s="74">
        <f>B151+0.005</f>
        <v>9.1704877858995448E-2</v>
      </c>
      <c r="C152" s="68">
        <f t="shared" si="152"/>
        <v>51.169900808623645</v>
      </c>
      <c r="D152" s="68">
        <f t="shared" si="152"/>
        <v>53.051889377540192</v>
      </c>
      <c r="E152" s="68">
        <f t="shared" si="152"/>
        <v>55.065109504553618</v>
      </c>
      <c r="F152" s="68">
        <f t="shared" si="152"/>
        <v>57.223783260653356</v>
      </c>
      <c r="G152" s="68">
        <f t="shared" si="152"/>
        <v>59.54426480543259</v>
      </c>
    </row>
    <row r="153" spans="2:12" s="7" customFormat="1" x14ac:dyDescent="0.2">
      <c r="B153" s="74">
        <f>B152+0.005</f>
        <v>9.6704877858995453E-2</v>
      </c>
      <c r="C153" s="68">
        <f t="shared" si="152"/>
        <v>46.763709005574512</v>
      </c>
      <c r="D153" s="68">
        <f t="shared" si="152"/>
        <v>48.389012269710683</v>
      </c>
      <c r="E153" s="68">
        <f t="shared" si="152"/>
        <v>50.120260768980636</v>
      </c>
      <c r="F153" s="68">
        <f t="shared" si="152"/>
        <v>51.968162549626484</v>
      </c>
      <c r="G153" s="68">
        <f t="shared" si="152"/>
        <v>53.944919007654249</v>
      </c>
    </row>
    <row r="154" spans="2:12" s="7" customFormat="1" x14ac:dyDescent="0.2">
      <c r="B154" s="17"/>
      <c r="C154" s="53"/>
      <c r="D154" s="17"/>
      <c r="E154" s="17"/>
      <c r="F154" s="17"/>
      <c r="G154" s="17"/>
    </row>
    <row r="155" spans="2:12" s="7" customFormat="1" x14ac:dyDescent="0.2"/>
    <row r="156" spans="2:12" s="7" customFormat="1" x14ac:dyDescent="0.2">
      <c r="B156" s="4" t="s">
        <v>76</v>
      </c>
      <c r="C156" s="4"/>
      <c r="D156" s="4"/>
      <c r="E156" s="4"/>
      <c r="F156" s="4"/>
      <c r="G156" s="4"/>
    </row>
    <row r="157" spans="2:12" x14ac:dyDescent="0.2">
      <c r="B157" s="17"/>
      <c r="C157" s="47">
        <v>1</v>
      </c>
      <c r="D157" s="47">
        <v>2</v>
      </c>
      <c r="E157" s="47">
        <v>3</v>
      </c>
      <c r="F157" s="47">
        <v>4</v>
      </c>
      <c r="G157" s="47">
        <v>5</v>
      </c>
      <c r="H157" s="1"/>
      <c r="I157" s="1"/>
      <c r="J157" s="1"/>
      <c r="K157" s="1"/>
      <c r="L157" s="1"/>
    </row>
    <row r="158" spans="2:12" x14ac:dyDescent="0.2">
      <c r="B158" s="17"/>
      <c r="C158" s="63">
        <f ca="1">H30</f>
        <v>2024</v>
      </c>
      <c r="D158" s="63">
        <f t="shared" ref="D158:G158" ca="1" si="153">I30</f>
        <v>2025</v>
      </c>
      <c r="E158" s="63">
        <f t="shared" ca="1" si="153"/>
        <v>2026</v>
      </c>
      <c r="F158" s="63">
        <f t="shared" ca="1" si="153"/>
        <v>2027</v>
      </c>
      <c r="G158" s="63">
        <f t="shared" ca="1" si="153"/>
        <v>2028</v>
      </c>
      <c r="H158" s="1"/>
      <c r="I158" s="1"/>
      <c r="J158" s="1"/>
      <c r="K158" s="1"/>
      <c r="L158" s="1"/>
    </row>
    <row r="159" spans="2:12" x14ac:dyDescent="0.2">
      <c r="B159" s="17" t="s">
        <v>8</v>
      </c>
      <c r="C159" s="56">
        <f>H58</f>
        <v>0</v>
      </c>
      <c r="D159" s="56">
        <f>I58</f>
        <v>0</v>
      </c>
      <c r="E159" s="56">
        <f>J58</f>
        <v>0</v>
      </c>
      <c r="F159" s="56">
        <f>K58</f>
        <v>0</v>
      </c>
      <c r="G159" s="56">
        <f>L58</f>
        <v>0</v>
      </c>
      <c r="H159" s="1"/>
      <c r="I159" s="1"/>
      <c r="J159" s="1"/>
      <c r="K159" s="1"/>
      <c r="L159" s="1"/>
    </row>
    <row r="160" spans="2:12" x14ac:dyDescent="0.2">
      <c r="B160" s="17" t="s">
        <v>37</v>
      </c>
      <c r="C160" s="57"/>
      <c r="D160" s="57"/>
      <c r="E160" s="57"/>
      <c r="F160" s="57"/>
      <c r="G160" s="58">
        <f>(G159*(1+L81))/(C84-L81)</f>
        <v>0</v>
      </c>
      <c r="H160" s="1"/>
      <c r="I160" s="1"/>
      <c r="J160" s="1"/>
      <c r="K160" s="1"/>
      <c r="L160" s="1"/>
    </row>
    <row r="161" spans="2:12" x14ac:dyDescent="0.2">
      <c r="B161" s="17" t="s">
        <v>38</v>
      </c>
      <c r="C161" s="40">
        <f>SUM(C159:C160)/(1+$C$84)^C157</f>
        <v>0</v>
      </c>
      <c r="D161" s="40">
        <f>SUM(D159:D160)/(1+$C$84)^D157</f>
        <v>0</v>
      </c>
      <c r="E161" s="40">
        <f>SUM(E159:E160)/(1+$C$84)^E157</f>
        <v>0</v>
      </c>
      <c r="F161" s="40">
        <f>SUM(F159:F160)/(1+$C$84)^F157</f>
        <v>0</v>
      </c>
      <c r="G161" s="40">
        <f>SUM(G159:G160)/(1+$C$84)^G157</f>
        <v>0</v>
      </c>
      <c r="H161" s="55"/>
    </row>
    <row r="162" spans="2:12" x14ac:dyDescent="0.2">
      <c r="B162" s="17"/>
      <c r="C162" s="40"/>
      <c r="D162" s="40"/>
      <c r="E162" s="40"/>
      <c r="F162" s="40"/>
      <c r="G162" s="40"/>
      <c r="H162" s="55"/>
    </row>
    <row r="163" spans="2:12" collapsed="1" x14ac:dyDescent="0.2">
      <c r="C163" s="1"/>
      <c r="D163" s="40"/>
      <c r="E163" s="1"/>
      <c r="F163" s="17" t="s">
        <v>49</v>
      </c>
      <c r="G163" s="77">
        <f>C86</f>
        <v>10.19</v>
      </c>
      <c r="H163" s="1"/>
      <c r="I163" s="1"/>
      <c r="J163" s="1"/>
      <c r="K163" s="1"/>
      <c r="L163" s="1"/>
    </row>
    <row r="164" spans="2:12" ht="17" thickBot="1" x14ac:dyDescent="0.25">
      <c r="B164" s="17" t="s">
        <v>41</v>
      </c>
      <c r="C164" s="78">
        <f>SUM(C161:G161)</f>
        <v>0</v>
      </c>
      <c r="E164" s="1"/>
      <c r="F164" s="17" t="s">
        <v>50</v>
      </c>
      <c r="G164" s="53">
        <f>C164/G163-1</f>
        <v>-1</v>
      </c>
      <c r="H164" s="1"/>
      <c r="I164" s="1"/>
      <c r="J164" s="1"/>
      <c r="K164" s="1"/>
      <c r="L164" s="1"/>
    </row>
    <row r="165" spans="2:12" ht="17" thickTop="1" x14ac:dyDescent="0.2">
      <c r="C165" s="1"/>
      <c r="H165" s="1"/>
      <c r="I165" s="1"/>
      <c r="J165" s="1"/>
      <c r="K165" s="1"/>
      <c r="L165" s="1"/>
    </row>
    <row r="166" spans="2:12" x14ac:dyDescent="0.2"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2:12" x14ac:dyDescent="0.2">
      <c r="B167" s="17"/>
      <c r="C167" s="104" t="s">
        <v>86</v>
      </c>
      <c r="D167" s="104"/>
      <c r="E167" s="104"/>
      <c r="F167" s="104"/>
      <c r="G167" s="104"/>
      <c r="H167" s="1"/>
      <c r="I167" s="1"/>
      <c r="J167" s="1"/>
      <c r="K167" s="1"/>
      <c r="L167" s="1"/>
    </row>
    <row r="168" spans="2:12" x14ac:dyDescent="0.2">
      <c r="B168" s="17"/>
      <c r="C168" s="105" t="s">
        <v>23</v>
      </c>
      <c r="D168" s="105"/>
      <c r="E168" s="105"/>
      <c r="F168" s="105"/>
      <c r="G168" s="105"/>
      <c r="H168" s="1"/>
      <c r="I168" s="1"/>
      <c r="J168" s="1"/>
      <c r="K168" s="1"/>
      <c r="L168" s="1"/>
    </row>
    <row r="169" spans="2:12" x14ac:dyDescent="0.2">
      <c r="B169" s="73"/>
      <c r="C169" s="75">
        <f>D169-0.0025</f>
        <v>1.5000000000000001E-2</v>
      </c>
      <c r="D169" s="75">
        <f>E169-0.0025</f>
        <v>1.7500000000000002E-2</v>
      </c>
      <c r="E169" s="75">
        <f>L81</f>
        <v>0.02</v>
      </c>
      <c r="F169" s="75">
        <f>E169+0.0025</f>
        <v>2.2499999999999999E-2</v>
      </c>
      <c r="G169" s="75">
        <f>F169+0.0025</f>
        <v>2.4999999999999998E-2</v>
      </c>
      <c r="H169" s="1"/>
      <c r="I169" s="1"/>
      <c r="J169" s="1"/>
      <c r="K169" s="1"/>
      <c r="L169" s="1"/>
    </row>
    <row r="170" spans="2:12" x14ac:dyDescent="0.2">
      <c r="B170" s="74">
        <f>B171-0.005</f>
        <v>9.1327999999999993E-2</v>
      </c>
      <c r="C170" s="68">
        <f t="shared" ref="C170:G174" si="154">(NPV($B170,$C$159,$D$159,$E$159,$F$159,$G$159+(($G$159*(1+C$169)/($B170-C$169)))))</f>
        <v>0</v>
      </c>
      <c r="D170" s="68">
        <f t="shared" si="154"/>
        <v>0</v>
      </c>
      <c r="E170" s="68">
        <f t="shared" si="154"/>
        <v>0</v>
      </c>
      <c r="F170" s="68">
        <f t="shared" si="154"/>
        <v>0</v>
      </c>
      <c r="G170" s="68">
        <f t="shared" si="154"/>
        <v>0</v>
      </c>
    </row>
    <row r="171" spans="2:12" x14ac:dyDescent="0.2">
      <c r="B171" s="74">
        <f>B172-0.005</f>
        <v>9.6327999999999997E-2</v>
      </c>
      <c r="C171" s="68">
        <f t="shared" si="154"/>
        <v>0</v>
      </c>
      <c r="D171" s="68">
        <f t="shared" si="154"/>
        <v>0</v>
      </c>
      <c r="E171" s="68">
        <f t="shared" si="154"/>
        <v>0</v>
      </c>
      <c r="F171" s="68">
        <f t="shared" si="154"/>
        <v>0</v>
      </c>
      <c r="G171" s="68">
        <f t="shared" si="154"/>
        <v>0</v>
      </c>
    </row>
    <row r="172" spans="2:12" x14ac:dyDescent="0.2">
      <c r="B172" s="74">
        <f>$C$84</f>
        <v>0.101328</v>
      </c>
      <c r="C172" s="68">
        <f t="shared" si="154"/>
        <v>0</v>
      </c>
      <c r="D172" s="68">
        <f t="shared" si="154"/>
        <v>0</v>
      </c>
      <c r="E172" s="68">
        <f t="shared" si="154"/>
        <v>0</v>
      </c>
      <c r="F172" s="68">
        <f t="shared" si="154"/>
        <v>0</v>
      </c>
      <c r="G172" s="68">
        <f t="shared" si="154"/>
        <v>0</v>
      </c>
    </row>
    <row r="173" spans="2:12" x14ac:dyDescent="0.2">
      <c r="B173" s="74">
        <f>B172+0.005</f>
        <v>0.10632800000000001</v>
      </c>
      <c r="C173" s="68">
        <f t="shared" si="154"/>
        <v>0</v>
      </c>
      <c r="D173" s="68">
        <f t="shared" si="154"/>
        <v>0</v>
      </c>
      <c r="E173" s="68">
        <f t="shared" si="154"/>
        <v>0</v>
      </c>
      <c r="F173" s="68">
        <f t="shared" si="154"/>
        <v>0</v>
      </c>
      <c r="G173" s="68">
        <f t="shared" si="154"/>
        <v>0</v>
      </c>
    </row>
    <row r="174" spans="2:12" x14ac:dyDescent="0.2">
      <c r="B174" s="74">
        <f>B173+0.005</f>
        <v>0.11132800000000001</v>
      </c>
      <c r="C174" s="68">
        <f t="shared" si="154"/>
        <v>0</v>
      </c>
      <c r="D174" s="68">
        <f t="shared" si="154"/>
        <v>0</v>
      </c>
      <c r="E174" s="68">
        <f t="shared" si="154"/>
        <v>0</v>
      </c>
      <c r="F174" s="68">
        <f t="shared" si="154"/>
        <v>0</v>
      </c>
      <c r="G174" s="68">
        <f t="shared" si="154"/>
        <v>0</v>
      </c>
    </row>
    <row r="175" spans="2:12" x14ac:dyDescent="0.2">
      <c r="C175" s="59"/>
      <c r="D175" s="60"/>
    </row>
    <row r="176" spans="2:12" x14ac:dyDescent="0.2">
      <c r="C176" s="59"/>
      <c r="D176" s="59"/>
    </row>
    <row r="177" spans="3:4" x14ac:dyDescent="0.2">
      <c r="C177" s="59"/>
      <c r="D177" s="59"/>
    </row>
    <row r="178" spans="3:4" x14ac:dyDescent="0.2">
      <c r="C178" s="59"/>
      <c r="D178" s="59"/>
    </row>
    <row r="179" spans="3:4" x14ac:dyDescent="0.2">
      <c r="C179" s="59"/>
      <c r="D179" s="60"/>
    </row>
    <row r="180" spans="3:4" x14ac:dyDescent="0.2">
      <c r="C180" s="59"/>
      <c r="D180" s="59"/>
    </row>
    <row r="181" spans="3:4" x14ac:dyDescent="0.2">
      <c r="C181" s="59"/>
      <c r="D181" s="59"/>
    </row>
    <row r="182" spans="3:4" x14ac:dyDescent="0.2">
      <c r="C182" s="59"/>
      <c r="D182" s="59"/>
    </row>
    <row r="183" spans="3:4" x14ac:dyDescent="0.2">
      <c r="C183" s="59"/>
      <c r="D183" s="59"/>
    </row>
    <row r="184" spans="3:4" x14ac:dyDescent="0.2">
      <c r="C184" s="59"/>
      <c r="D184" s="59"/>
    </row>
    <row r="185" spans="3:4" x14ac:dyDescent="0.2">
      <c r="C185" s="59"/>
      <c r="D185" s="59"/>
    </row>
    <row r="186" spans="3:4" x14ac:dyDescent="0.2">
      <c r="C186" s="59"/>
      <c r="D186" s="59"/>
    </row>
    <row r="187" spans="3:4" x14ac:dyDescent="0.2">
      <c r="C187" s="59"/>
      <c r="D187" s="59"/>
    </row>
    <row r="188" spans="3:4" x14ac:dyDescent="0.2">
      <c r="C188" s="59"/>
      <c r="D188" s="59"/>
    </row>
    <row r="189" spans="3:4" x14ac:dyDescent="0.2">
      <c r="C189" s="59"/>
      <c r="D189" s="60"/>
    </row>
    <row r="190" spans="3:4" x14ac:dyDescent="0.2">
      <c r="C190" s="59"/>
      <c r="D190" s="59"/>
    </row>
    <row r="191" spans="3:4" x14ac:dyDescent="0.2">
      <c r="C191" s="59"/>
      <c r="D191" s="59"/>
    </row>
    <row r="192" spans="3:4" x14ac:dyDescent="0.2">
      <c r="C192" s="59"/>
      <c r="D192" s="59"/>
    </row>
    <row r="193" spans="3:4" x14ac:dyDescent="0.2">
      <c r="C193" s="59"/>
      <c r="D193" s="59"/>
    </row>
    <row r="194" spans="3:4" x14ac:dyDescent="0.2">
      <c r="C194" s="59"/>
      <c r="D194" s="59"/>
    </row>
    <row r="195" spans="3:4" x14ac:dyDescent="0.2">
      <c r="C195" s="59"/>
      <c r="D195" s="60"/>
    </row>
    <row r="196" spans="3:4" x14ac:dyDescent="0.2">
      <c r="C196" s="59"/>
      <c r="D196" s="60"/>
    </row>
    <row r="197" spans="3:4" x14ac:dyDescent="0.2">
      <c r="C197" s="59"/>
      <c r="D197" s="60"/>
    </row>
    <row r="198" spans="3:4" x14ac:dyDescent="0.2">
      <c r="C198" s="59"/>
      <c r="D198" s="59"/>
    </row>
    <row r="199" spans="3:4" x14ac:dyDescent="0.2">
      <c r="C199" s="59"/>
      <c r="D199" s="59"/>
    </row>
    <row r="200" spans="3:4" x14ac:dyDescent="0.2">
      <c r="C200" s="59"/>
      <c r="D200" s="59"/>
    </row>
    <row r="201" spans="3:4" x14ac:dyDescent="0.2">
      <c r="C201" s="59"/>
      <c r="D201" s="59"/>
    </row>
    <row r="202" spans="3:4" x14ac:dyDescent="0.2">
      <c r="C202" s="59"/>
      <c r="D202" s="59"/>
    </row>
    <row r="203" spans="3:4" x14ac:dyDescent="0.2">
      <c r="C203" s="59"/>
      <c r="D203" s="59"/>
    </row>
    <row r="204" spans="3:4" x14ac:dyDescent="0.2">
      <c r="C204" s="59"/>
      <c r="D204" s="59"/>
    </row>
    <row r="205" spans="3:4" x14ac:dyDescent="0.2">
      <c r="C205" s="59"/>
      <c r="D205" s="59"/>
    </row>
    <row r="206" spans="3:4" x14ac:dyDescent="0.2">
      <c r="C206" s="59"/>
      <c r="D206" s="59"/>
    </row>
    <row r="207" spans="3:4" x14ac:dyDescent="0.2">
      <c r="C207" s="59"/>
      <c r="D207" s="60"/>
    </row>
    <row r="208" spans="3:4" x14ac:dyDescent="0.2">
      <c r="C208" s="59"/>
      <c r="D208" s="59"/>
    </row>
    <row r="209" spans="3:4" x14ac:dyDescent="0.2">
      <c r="C209" s="59"/>
      <c r="D209" s="59"/>
    </row>
    <row r="210" spans="3:4" x14ac:dyDescent="0.2">
      <c r="C210" s="59"/>
      <c r="D210" s="59"/>
    </row>
    <row r="211" spans="3:4" x14ac:dyDescent="0.2">
      <c r="C211" s="59"/>
      <c r="D211" s="59"/>
    </row>
    <row r="212" spans="3:4" x14ac:dyDescent="0.2">
      <c r="C212" s="59"/>
      <c r="D212" s="59"/>
    </row>
    <row r="213" spans="3:4" x14ac:dyDescent="0.2">
      <c r="C213" s="59"/>
      <c r="D213" s="59"/>
    </row>
    <row r="214" spans="3:4" x14ac:dyDescent="0.2">
      <c r="C214" s="59"/>
      <c r="D214" s="59"/>
    </row>
    <row r="215" spans="3:4" x14ac:dyDescent="0.2">
      <c r="C215" s="59"/>
      <c r="D215" s="59"/>
    </row>
    <row r="216" spans="3:4" x14ac:dyDescent="0.2">
      <c r="C216" s="59"/>
      <c r="D216" s="60"/>
    </row>
    <row r="217" spans="3:4" x14ac:dyDescent="0.2">
      <c r="C217" s="59"/>
      <c r="D217" s="59"/>
    </row>
    <row r="218" spans="3:4" x14ac:dyDescent="0.2">
      <c r="C218" s="59"/>
      <c r="D218" s="59"/>
    </row>
    <row r="219" spans="3:4" x14ac:dyDescent="0.2">
      <c r="C219" s="59"/>
      <c r="D219" s="59"/>
    </row>
    <row r="220" spans="3:4" x14ac:dyDescent="0.2">
      <c r="C220" s="59"/>
      <c r="D220" s="60"/>
    </row>
    <row r="221" spans="3:4" x14ac:dyDescent="0.2">
      <c r="C221" s="59"/>
      <c r="D221" s="59"/>
    </row>
    <row r="222" spans="3:4" x14ac:dyDescent="0.2">
      <c r="C222" s="59"/>
      <c r="D222" s="59"/>
    </row>
    <row r="223" spans="3:4" x14ac:dyDescent="0.2">
      <c r="C223" s="59"/>
      <c r="D223" s="60"/>
    </row>
    <row r="224" spans="3:4" x14ac:dyDescent="0.2">
      <c r="C224" s="59"/>
      <c r="D224" s="60"/>
    </row>
    <row r="225" spans="3:4" x14ac:dyDescent="0.2">
      <c r="C225" s="59"/>
      <c r="D225" s="59"/>
    </row>
    <row r="226" spans="3:4" x14ac:dyDescent="0.2">
      <c r="C226" s="59"/>
      <c r="D226" s="59"/>
    </row>
    <row r="227" spans="3:4" x14ac:dyDescent="0.2">
      <c r="C227" s="59"/>
      <c r="D227" s="59"/>
    </row>
    <row r="228" spans="3:4" x14ac:dyDescent="0.2">
      <c r="C228" s="59"/>
      <c r="D228" s="60"/>
    </row>
    <row r="229" spans="3:4" x14ac:dyDescent="0.2">
      <c r="C229" s="59"/>
      <c r="D229" s="59"/>
    </row>
    <row r="230" spans="3:4" x14ac:dyDescent="0.2">
      <c r="C230" s="59"/>
      <c r="D230" s="59"/>
    </row>
    <row r="231" spans="3:4" x14ac:dyDescent="0.2">
      <c r="C231" s="59"/>
      <c r="D231" s="60"/>
    </row>
    <row r="232" spans="3:4" x14ac:dyDescent="0.2">
      <c r="C232" s="59"/>
      <c r="D232" s="59"/>
    </row>
    <row r="233" spans="3:4" x14ac:dyDescent="0.2">
      <c r="C233" s="59"/>
      <c r="D233" s="59"/>
    </row>
    <row r="234" spans="3:4" x14ac:dyDescent="0.2">
      <c r="C234" s="59"/>
      <c r="D234" s="59"/>
    </row>
    <row r="235" spans="3:4" x14ac:dyDescent="0.2">
      <c r="C235" s="59"/>
      <c r="D235" s="60"/>
    </row>
    <row r="236" spans="3:4" x14ac:dyDescent="0.2">
      <c r="C236" s="59"/>
      <c r="D236" s="59"/>
    </row>
    <row r="237" spans="3:4" x14ac:dyDescent="0.2">
      <c r="C237" s="59"/>
      <c r="D237" s="59"/>
    </row>
    <row r="238" spans="3:4" x14ac:dyDescent="0.2">
      <c r="C238" s="59"/>
      <c r="D238" s="59"/>
    </row>
    <row r="239" spans="3:4" x14ac:dyDescent="0.2">
      <c r="C239" s="59"/>
      <c r="D239" s="59"/>
    </row>
    <row r="240" spans="3:4" x14ac:dyDescent="0.2">
      <c r="C240" s="59"/>
      <c r="D240" s="60"/>
    </row>
    <row r="241" spans="3:4" x14ac:dyDescent="0.2">
      <c r="C241" s="59"/>
      <c r="D241" s="59"/>
    </row>
    <row r="242" spans="3:4" x14ac:dyDescent="0.2">
      <c r="C242" s="59"/>
      <c r="D242" s="59"/>
    </row>
    <row r="243" spans="3:4" x14ac:dyDescent="0.2">
      <c r="C243" s="59"/>
      <c r="D243" s="59"/>
    </row>
    <row r="244" spans="3:4" x14ac:dyDescent="0.2">
      <c r="C244" s="59"/>
      <c r="D244" s="60"/>
    </row>
    <row r="245" spans="3:4" x14ac:dyDescent="0.2">
      <c r="C245" s="59"/>
      <c r="D245" s="59"/>
    </row>
    <row r="246" spans="3:4" x14ac:dyDescent="0.2">
      <c r="C246" s="59"/>
      <c r="D246" s="59"/>
    </row>
    <row r="247" spans="3:4" x14ac:dyDescent="0.2">
      <c r="C247" s="59"/>
      <c r="D247" s="59"/>
    </row>
    <row r="248" spans="3:4" x14ac:dyDescent="0.2">
      <c r="C248" s="59"/>
      <c r="D248" s="59"/>
    </row>
    <row r="249" spans="3:4" x14ac:dyDescent="0.2">
      <c r="C249" s="59"/>
      <c r="D249" s="59"/>
    </row>
    <row r="250" spans="3:4" x14ac:dyDescent="0.2">
      <c r="C250" s="59"/>
      <c r="D250" s="59"/>
    </row>
    <row r="251" spans="3:4" x14ac:dyDescent="0.2">
      <c r="C251" s="59"/>
      <c r="D251" s="60"/>
    </row>
    <row r="252" spans="3:4" x14ac:dyDescent="0.2">
      <c r="C252" s="59"/>
      <c r="D252" s="59"/>
    </row>
    <row r="253" spans="3:4" x14ac:dyDescent="0.2">
      <c r="C253" s="59"/>
      <c r="D253" s="59"/>
    </row>
    <row r="254" spans="3:4" x14ac:dyDescent="0.2">
      <c r="C254" s="59"/>
      <c r="D254" s="59"/>
    </row>
    <row r="255" spans="3:4" x14ac:dyDescent="0.2">
      <c r="C255" s="59"/>
      <c r="D255" s="59"/>
    </row>
    <row r="256" spans="3:4" x14ac:dyDescent="0.2">
      <c r="C256" s="59"/>
      <c r="D256" s="60"/>
    </row>
    <row r="257" spans="3:4" x14ac:dyDescent="0.2">
      <c r="C257" s="59"/>
      <c r="D257" s="60"/>
    </row>
    <row r="258" spans="3:4" x14ac:dyDescent="0.2">
      <c r="C258" s="59"/>
      <c r="D258" s="60"/>
    </row>
    <row r="259" spans="3:4" x14ac:dyDescent="0.2">
      <c r="C259" s="59"/>
      <c r="D259" s="59"/>
    </row>
    <row r="260" spans="3:4" x14ac:dyDescent="0.2">
      <c r="C260" s="59"/>
      <c r="D260" s="60"/>
    </row>
    <row r="261" spans="3:4" x14ac:dyDescent="0.2">
      <c r="C261" s="59"/>
      <c r="D261" s="59"/>
    </row>
    <row r="262" spans="3:4" x14ac:dyDescent="0.2">
      <c r="C262" s="59"/>
      <c r="D262" s="59"/>
    </row>
    <row r="263" spans="3:4" x14ac:dyDescent="0.2">
      <c r="C263" s="59"/>
      <c r="D263" s="60"/>
    </row>
    <row r="264" spans="3:4" x14ac:dyDescent="0.2">
      <c r="C264" s="59"/>
      <c r="D264" s="59"/>
    </row>
    <row r="265" spans="3:4" x14ac:dyDescent="0.2">
      <c r="C265" s="59"/>
      <c r="D265" s="60"/>
    </row>
    <row r="266" spans="3:4" x14ac:dyDescent="0.2">
      <c r="C266" s="59"/>
      <c r="D266" s="60"/>
    </row>
    <row r="267" spans="3:4" x14ac:dyDescent="0.2">
      <c r="C267" s="59"/>
      <c r="D267" s="60"/>
    </row>
    <row r="268" spans="3:4" x14ac:dyDescent="0.2">
      <c r="C268" s="59"/>
      <c r="D268" s="60"/>
    </row>
    <row r="269" spans="3:4" x14ac:dyDescent="0.2">
      <c r="C269" s="59"/>
      <c r="D269" s="59"/>
    </row>
    <row r="270" spans="3:4" x14ac:dyDescent="0.2">
      <c r="C270" s="59"/>
      <c r="D270" s="59"/>
    </row>
    <row r="271" spans="3:4" x14ac:dyDescent="0.2">
      <c r="C271" s="59"/>
      <c r="D271" s="59"/>
    </row>
  </sheetData>
  <mergeCells count="16">
    <mergeCell ref="C167:G167"/>
    <mergeCell ref="C168:G168"/>
    <mergeCell ref="N1:Q2"/>
    <mergeCell ref="B1:L2"/>
    <mergeCell ref="H70:L70"/>
    <mergeCell ref="C103:G103"/>
    <mergeCell ref="C102:G102"/>
    <mergeCell ref="C146:G146"/>
    <mergeCell ref="C147:G147"/>
    <mergeCell ref="C125:G125"/>
    <mergeCell ref="C126:G126"/>
    <mergeCell ref="H7:L7"/>
    <mergeCell ref="H29:L29"/>
    <mergeCell ref="H36:L36"/>
    <mergeCell ref="H55:L55"/>
    <mergeCell ref="H61:L61"/>
  </mergeCells>
  <conditionalFormatting sqref="G99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G122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G14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164">
    <cfRule type="cellIs" dxfId="1" priority="1" operator="lessThan">
      <formula>0</formula>
    </cfRule>
    <cfRule type="cellIs" dxfId="0" priority="2" operator="greaterThan">
      <formula>0</formula>
    </cfRule>
  </conditionalFormatting>
  <pageMargins left="0.2" right="0.2" top="0.5" bottom="0.5" header="0.5" footer="0.5"/>
  <pageSetup fitToWidth="0" fitToHeight="0" orientation="landscape" r:id="rId1"/>
  <headerFooter alignWithMargins="0"/>
  <ignoredErrors>
    <ignoredError sqref="H37:L37 C48:L48 I28:L28 H30:L30 H13:L14 H17:L18" formula="1"/>
  </ignoredErrors>
  <drawing r:id="rId2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Lions Gate DCF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Ferguson, Cameron</cp:lastModifiedBy>
  <dcterms:created xsi:type="dcterms:W3CDTF">2024-04-07T05:16:34Z</dcterms:created>
  <dcterms:modified xsi:type="dcterms:W3CDTF">2024-04-29T18:49:34Z</dcterms:modified>
</cp:coreProperties>
</file>